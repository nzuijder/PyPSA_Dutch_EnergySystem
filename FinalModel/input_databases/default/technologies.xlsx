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5BE7D714-7872-E44D-B0B3-F7894809070D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  <c r="E21" i="3"/>
  <c r="E20" i="3"/>
  <c r="E7" i="3"/>
  <c r="E5" i="3" s="1"/>
  <c r="E6" i="3"/>
  <c r="E4" i="3" s="1"/>
</calcChain>
</file>

<file path=xl/sharedStrings.xml><?xml version="1.0" encoding="utf-8"?>
<sst xmlns="http://schemas.openxmlformats.org/spreadsheetml/2006/main" count="1130" uniqueCount="117">
  <si>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</si>
  <si>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</si>
  <si>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</si>
  <si>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</si>
  <si>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</si>
  <si>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</si>
  <si>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</si>
  <si>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</si>
  <si>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</si>
  <si>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</si>
  <si>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</si>
  <si>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</si>
  <si>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</si>
  <si>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</si>
  <si>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</si>
  <si>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</si>
  <si>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</si>
  <si>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</si>
  <si>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</si>
  <si>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</si>
  <si>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</si>
  <si>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</si>
  <si>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</si>
  <si>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</si>
  <si>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</si>
  <si>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</si>
  <si>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</si>
  <si>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</si>
  <si>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</si>
  <si>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</si>
  <si>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</si>
  <si>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</si>
  <si>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</si>
  <si>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</si>
  <si>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</si>
  <si>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</si>
  <si>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</si>
  <si>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</si>
  <si>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</si>
  <si>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</si>
  <si>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</si>
  <si>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</si>
  <si>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</si>
  <si>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</si>
  <si>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</si>
  <si>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</si>
  <si>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</si>
  <si>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</si>
  <si>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</si>
  <si>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</si>
  <si>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</si>
  <si>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</si>
  <si>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</si>
  <si>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</si>
  <si>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</si>
  <si>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</si>
  <si>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</si>
  <si>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</si>
  <si>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</si>
  <si>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</si>
  <si>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</si>
  <si>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</si>
  <si>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</si>
  <si>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</si>
  <si>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</si>
  <si>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</si>
  <si>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</si>
  <si>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</si>
  <si>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</si>
  <si>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</si>
  <si>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</si>
  <si>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</si>
  <si>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</si>
  <si>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</si>
  <si>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</si>
  <si>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</si>
  <si>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</si>
  <si>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</si>
  <si>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</si>
  <si>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</si>
  <si>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</si>
  <si>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</si>
  <si>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</si>
  <si>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</si>
  <si>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</si>
  <si>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</si>
  <si>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</si>
  <si>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</si>
  <si>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</si>
  <si>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</si>
  <si>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</si>
  <si>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</si>
  <si>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</si>
  <si>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</si>
  <si>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</si>
  <si>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</si>
  <si>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</si>
  <si>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</si>
  <si>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</si>
  <si>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</si>
  <si>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</si>
  <si>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</si>
  <si>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</si>
  <si>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</si>
  <si>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</si>
  <si>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</si>
  <si>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</si>
  <si>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</si>
  <si>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</si>
  <si>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</si>
  <si>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</si>
  <si>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</si>
  <si>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</si>
  <si>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</si>
  <si>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</si>
  <si>
    <t>Industrial gas boiler - existing</t>
  </si>
  <si>
    <t>Large-scale heat pump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</si>
</sst>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209"/>
  <sheetViews>
    <sheetView tabSelected="1" zoomScale="111" zoomScaleNormal="85" workbookViewId="0">
      <pane ySplit="1" topLeftCell="A188" activePane="bottomLeft" state="frozen"/>
      <selection pane="bottomLeft" activeCell="B215" sqref="B215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34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1:5" x14ac:dyDescent="0.2">
      <c r="B193" t="s">
        <v>16</v>
      </c>
      <c r="E193" t="s">
        <v>79</v>
      </c>
    </row>
    <row r="194" spans="1:5" x14ac:dyDescent="0.2">
      <c r="B194" t="s">
        <v>24</v>
      </c>
      <c r="E194" t="s">
        <v>25</v>
      </c>
    </row>
    <row r="195" spans="1:5" x14ac:dyDescent="0.2">
      <c r="B195" t="s">
        <v>28</v>
      </c>
      <c r="C195" t="s">
        <v>29</v>
      </c>
      <c r="E195" t="s">
        <v>34</v>
      </c>
    </row>
    <row r="196" spans="1:5" x14ac:dyDescent="0.2">
      <c r="B196" t="s">
        <v>31</v>
      </c>
      <c r="C196" t="s">
        <v>32</v>
      </c>
      <c r="D196" t="s">
        <v>9</v>
      </c>
      <c r="E196" t="s">
        <v>114</v>
      </c>
    </row>
    <row r="197" spans="1:5" x14ac:dyDescent="0.2">
      <c r="B197" t="s">
        <v>46</v>
      </c>
      <c r="C197" t="s">
        <v>47</v>
      </c>
      <c r="D197" t="s">
        <v>44</v>
      </c>
      <c r="E197" t="s">
        <v>48</v>
      </c>
    </row>
    <row r="198" spans="1:5" x14ac:dyDescent="0.2">
      <c r="A198" t="s">
        <v>115</v>
      </c>
      <c r="B198" t="s">
        <v>49</v>
      </c>
      <c r="E198" t="s">
        <v>113</v>
      </c>
    </row>
    <row r="199" spans="1:5" x14ac:dyDescent="0.2">
      <c r="B199" t="s">
        <v>16</v>
      </c>
      <c r="E199" t="s">
        <v>79</v>
      </c>
    </row>
    <row r="200" spans="1:5" x14ac:dyDescent="0.2">
      <c r="B200" t="s">
        <v>24</v>
      </c>
      <c r="E200" t="s">
        <v>25</v>
      </c>
    </row>
    <row r="201" spans="1:5" x14ac:dyDescent="0.2">
      <c r="B201" t="s">
        <v>28</v>
      </c>
      <c r="C201" t="s">
        <v>29</v>
      </c>
      <c r="E201" t="s">
        <v>34</v>
      </c>
    </row>
    <row r="202" spans="1:5" x14ac:dyDescent="0.2">
      <c r="B202" t="s">
        <v>31</v>
      </c>
      <c r="C202" t="s">
        <v>32</v>
      </c>
      <c r="D202" t="s">
        <v>9</v>
      </c>
      <c r="E202" t="s">
        <v>114</v>
      </c>
    </row>
    <row r="203" spans="1:5" x14ac:dyDescent="0.2">
      <c r="B203" t="s">
        <v>46</v>
      </c>
      <c r="C203" t="s">
        <v>47</v>
      </c>
      <c r="D203" t="s">
        <v>44</v>
      </c>
      <c r="E203" t="s">
        <v>48</v>
      </c>
    </row>
    <row r="204" spans="1:5" x14ac:dyDescent="0.2">
      <c r="A204" t="s">
        <v>116</v>
      </c>
      <c r="B204" t="s">
        <v>49</v>
      </c>
      <c r="E204" t="s">
        <v>112</v>
      </c>
    </row>
    <row r="205" spans="1:5" x14ac:dyDescent="0.2">
      <c r="B205" t="s">
        <v>16</v>
      </c>
      <c r="E205" t="s">
        <v>79</v>
      </c>
    </row>
    <row r="206" spans="1:5" x14ac:dyDescent="0.2">
      <c r="B206" t="s">
        <v>24</v>
      </c>
      <c r="E206" t="s">
        <v>25</v>
      </c>
    </row>
    <row r="207" spans="1:5" x14ac:dyDescent="0.2">
      <c r="B207" t="s">
        <v>28</v>
      </c>
      <c r="C207" t="s">
        <v>29</v>
      </c>
      <c r="E207" t="s">
        <v>34</v>
      </c>
    </row>
    <row r="208" spans="1:5" x14ac:dyDescent="0.2">
      <c r="B208" t="s">
        <v>31</v>
      </c>
      <c r="C208" t="s">
        <v>32</v>
      </c>
      <c r="D208" t="s">
        <v>9</v>
      </c>
      <c r="E208" t="s">
        <v>114</v>
      </c>
    </row>
    <row r="209" spans="2:5" x14ac:dyDescent="0.2">
      <c r="B209" t="s">
        <v>46</v>
      </c>
      <c r="C209" t="s">
        <v>47</v>
      </c>
      <c r="D209" t="s">
        <v>44</v>
      </c>
      <c r="E209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4"/>
  <sheetViews>
    <sheetView zoomScale="113" zoomScaleNormal="85" workbookViewId="0">
      <pane ySplit="1" topLeftCell="A178" activePane="bottomLeft" state="frozen"/>
      <selection pane="bottomLeft" activeCell="G203" sqref="G203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</row>
    <row r="60" spans="1: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</row>
    <row r="61" spans="1: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</row>
    <row r="62" spans="1: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</row>
    <row r="63" spans="1: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</row>
    <row r="64" spans="1:7" x14ac:dyDescent="0.2">
      <c r="A64" s="4"/>
      <c r="B64" s="3" t="s">
        <v>9</v>
      </c>
      <c r="C64" s="4"/>
      <c r="D64" s="3">
        <v>0.23</v>
      </c>
      <c r="E64" s="4"/>
      <c r="F64" s="4"/>
      <c r="G64" s="4"/>
    </row>
    <row r="65" spans="1: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</row>
    <row r="66" spans="1: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-396</v>
      </c>
    </row>
    <row r="67" spans="1: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396</v>
      </c>
    </row>
    <row r="68" spans="1: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G159" si="0">0.03*G158</f>
        <v>11.85</v>
      </c>
    </row>
    <row r="160" spans="1:7" x14ac:dyDescent="0.2">
      <c r="B160" t="s">
        <v>8</v>
      </c>
      <c r="C160" t="s">
        <v>22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/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  <row r="193" spans="1:4" x14ac:dyDescent="0.2">
      <c r="A193" t="s">
        <v>115</v>
      </c>
      <c r="B193" t="s">
        <v>6</v>
      </c>
      <c r="C193" t="s">
        <v>21</v>
      </c>
    </row>
    <row r="194" spans="1:4" x14ac:dyDescent="0.2">
      <c r="B194" t="s">
        <v>7</v>
      </c>
      <c r="C194" t="s">
        <v>21</v>
      </c>
      <c r="D194">
        <v>2</v>
      </c>
    </row>
    <row r="195" spans="1:4" x14ac:dyDescent="0.2">
      <c r="B195" t="s">
        <v>8</v>
      </c>
      <c r="C195" t="s">
        <v>22</v>
      </c>
    </row>
    <row r="196" spans="1:4" x14ac:dyDescent="0.2">
      <c r="B196" t="s">
        <v>9</v>
      </c>
      <c r="D196">
        <v>0.9</v>
      </c>
    </row>
    <row r="197" spans="1:4" x14ac:dyDescent="0.2">
      <c r="B197" t="s">
        <v>10</v>
      </c>
      <c r="C197" t="s">
        <v>11</v>
      </c>
      <c r="D197">
        <v>4</v>
      </c>
    </row>
    <row r="198" spans="1:4" x14ac:dyDescent="0.2">
      <c r="B198" t="s">
        <v>44</v>
      </c>
      <c r="C198" t="s">
        <v>45</v>
      </c>
      <c r="D198">
        <v>0.2</v>
      </c>
    </row>
    <row r="199" spans="1:4" x14ac:dyDescent="0.2">
      <c r="A199" t="s">
        <v>116</v>
      </c>
      <c r="B199" t="s">
        <v>6</v>
      </c>
      <c r="C199" t="s">
        <v>21</v>
      </c>
    </row>
    <row r="200" spans="1:4" x14ac:dyDescent="0.2">
      <c r="B200" t="s">
        <v>7</v>
      </c>
      <c r="C200" t="s">
        <v>21</v>
      </c>
      <c r="D200">
        <v>8</v>
      </c>
    </row>
    <row r="201" spans="1:4" x14ac:dyDescent="0.2">
      <c r="B201" t="s">
        <v>8</v>
      </c>
      <c r="C201" t="s">
        <v>22</v>
      </c>
    </row>
    <row r="202" spans="1:4" x14ac:dyDescent="0.2">
      <c r="A202" s="2"/>
      <c r="B202" t="s">
        <v>9</v>
      </c>
      <c r="D202">
        <v>2</v>
      </c>
    </row>
    <row r="203" spans="1:4" x14ac:dyDescent="0.2">
      <c r="B203" t="s">
        <v>10</v>
      </c>
      <c r="C203" t="s">
        <v>11</v>
      </c>
      <c r="D203">
        <v>4</v>
      </c>
    </row>
    <row r="204" spans="1:4" x14ac:dyDescent="0.2">
      <c r="B204" t="s">
        <v>44</v>
      </c>
      <c r="C204" t="s">
        <v>45</v>
      </c>
      <c r="D204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41"/>
  <sheetViews>
    <sheetView topLeftCell="A10" workbookViewId="0">
      <selection activeCell="G38" sqref="G38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2025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f>17774.482-E6</f>
        <v>15822.165999999999</v>
      </c>
    </row>
    <row r="5" spans="1:8" x14ac:dyDescent="0.2">
      <c r="B5" t="s">
        <v>93</v>
      </c>
      <c r="C5" t="s">
        <v>92</v>
      </c>
      <c r="D5">
        <v>0.7</v>
      </c>
      <c r="E5">
        <f>17774.482-E7</f>
        <v>15822.165999999999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f>975.445+188.771+788.1</f>
        <v>1952.3160000000003</v>
      </c>
    </row>
    <row r="7" spans="1:8" x14ac:dyDescent="0.2">
      <c r="B7" t="s">
        <v>93</v>
      </c>
      <c r="C7" t="s">
        <v>92</v>
      </c>
      <c r="D7">
        <v>0.7</v>
      </c>
      <c r="E7">
        <f>975.445+188.771+788.1</f>
        <v>1952.3160000000003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512</v>
      </c>
    </row>
    <row r="9" spans="1:8" x14ac:dyDescent="0.2">
      <c r="B9" t="s">
        <v>93</v>
      </c>
      <c r="C9" t="s">
        <v>92</v>
      </c>
      <c r="D9">
        <v>0.7</v>
      </c>
      <c r="E9">
        <v>512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24771.661</v>
      </c>
    </row>
    <row r="11" spans="1:8" x14ac:dyDescent="0.2">
      <c r="B11" t="s">
        <v>93</v>
      </c>
      <c r="C11" t="s">
        <v>92</v>
      </c>
      <c r="D11">
        <v>0.7</v>
      </c>
      <c r="E11">
        <v>24771.661</v>
      </c>
      <c r="G11" s="1"/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6954.8180000000002</v>
      </c>
    </row>
    <row r="13" spans="1:8" x14ac:dyDescent="0.2">
      <c r="B13" t="s">
        <v>93</v>
      </c>
      <c r="C13" t="s">
        <v>92</v>
      </c>
      <c r="D13">
        <v>0.7</v>
      </c>
      <c r="E13">
        <v>6954.8180000000002</v>
      </c>
      <c r="G13" s="1"/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4747.5</v>
      </c>
    </row>
    <row r="15" spans="1:8" x14ac:dyDescent="0.2">
      <c r="B15" t="s">
        <v>93</v>
      </c>
      <c r="C15" t="s">
        <v>92</v>
      </c>
      <c r="D15">
        <v>0.7</v>
      </c>
      <c r="E15">
        <v>4747.5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0.56914399999999998</v>
      </c>
    </row>
    <row r="17" spans="1:7" x14ac:dyDescent="0.2">
      <c r="B17" t="s">
        <v>93</v>
      </c>
      <c r="C17" t="s">
        <v>96</v>
      </c>
      <c r="D17">
        <v>4</v>
      </c>
      <c r="E17">
        <v>1.5691440000000001</v>
      </c>
    </row>
    <row r="18" spans="1:7" x14ac:dyDescent="0.2">
      <c r="A18" t="s">
        <v>18</v>
      </c>
      <c r="B18" t="s">
        <v>91</v>
      </c>
      <c r="C18" t="s">
        <v>96</v>
      </c>
      <c r="D18">
        <v>4</v>
      </c>
    </row>
    <row r="19" spans="1:7" x14ac:dyDescent="0.2">
      <c r="B19" t="s">
        <v>93</v>
      </c>
      <c r="C19" t="s">
        <v>96</v>
      </c>
      <c r="D19">
        <v>4</v>
      </c>
      <c r="G19" s="1"/>
    </row>
    <row r="20" spans="1:7" x14ac:dyDescent="0.2">
      <c r="A20" t="s">
        <v>97</v>
      </c>
      <c r="B20" t="s">
        <v>91</v>
      </c>
      <c r="C20" t="s">
        <v>96</v>
      </c>
      <c r="D20">
        <v>4</v>
      </c>
      <c r="E20">
        <f>9.24781-E17</f>
        <v>7.6786659999999998</v>
      </c>
    </row>
    <row r="21" spans="1:7" x14ac:dyDescent="0.2">
      <c r="B21" t="s">
        <v>93</v>
      </c>
      <c r="C21" t="s">
        <v>96</v>
      </c>
      <c r="D21">
        <v>4</v>
      </c>
      <c r="E21">
        <f>9.24781-E17</f>
        <v>7.6786659999999998</v>
      </c>
    </row>
    <row r="22" spans="1:7" x14ac:dyDescent="0.2">
      <c r="A22" t="s">
        <v>98</v>
      </c>
      <c r="B22" t="s">
        <v>91</v>
      </c>
      <c r="C22" t="s">
        <v>92</v>
      </c>
    </row>
    <row r="23" spans="1:7" x14ac:dyDescent="0.2">
      <c r="B23" t="s">
        <v>93</v>
      </c>
      <c r="C23" t="s">
        <v>92</v>
      </c>
    </row>
    <row r="24" spans="1:7" x14ac:dyDescent="0.2">
      <c r="A24" t="s">
        <v>99</v>
      </c>
      <c r="B24" t="s">
        <v>91</v>
      </c>
      <c r="C24" t="s">
        <v>92</v>
      </c>
    </row>
    <row r="25" spans="1:7" x14ac:dyDescent="0.2">
      <c r="B25" t="s">
        <v>93</v>
      </c>
      <c r="C25" t="s">
        <v>92</v>
      </c>
    </row>
    <row r="26" spans="1:7" x14ac:dyDescent="0.2">
      <c r="A26" t="s">
        <v>85</v>
      </c>
      <c r="B26" t="s">
        <v>91</v>
      </c>
      <c r="C26" t="s">
        <v>92</v>
      </c>
    </row>
    <row r="27" spans="1:7" x14ac:dyDescent="0.2">
      <c r="B27" t="s">
        <v>93</v>
      </c>
      <c r="C27" t="s">
        <v>92</v>
      </c>
    </row>
    <row r="28" spans="1:7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7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7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7" x14ac:dyDescent="0.2">
      <c r="B31" t="s">
        <v>93</v>
      </c>
      <c r="C31" t="s">
        <v>92</v>
      </c>
      <c r="D31">
        <v>0.7</v>
      </c>
      <c r="E31">
        <v>158</v>
      </c>
    </row>
    <row r="32" spans="1:7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  <row r="38" spans="1:5" x14ac:dyDescent="0.2">
      <c r="A38" t="s">
        <v>115</v>
      </c>
      <c r="B38" t="s">
        <v>91</v>
      </c>
      <c r="C38" t="s">
        <v>92</v>
      </c>
      <c r="D38">
        <v>0.7</v>
      </c>
      <c r="E38">
        <v>4200</v>
      </c>
    </row>
    <row r="39" spans="1:5" x14ac:dyDescent="0.2">
      <c r="B39" t="s">
        <v>93</v>
      </c>
      <c r="C39" t="s">
        <v>92</v>
      </c>
      <c r="D39">
        <v>0.7</v>
      </c>
      <c r="E39">
        <v>4200</v>
      </c>
    </row>
    <row r="40" spans="1:5" x14ac:dyDescent="0.2">
      <c r="A40" t="s">
        <v>116</v>
      </c>
      <c r="B40" t="s">
        <v>91</v>
      </c>
      <c r="C40" t="s">
        <v>92</v>
      </c>
      <c r="D40">
        <v>0.7</v>
      </c>
      <c r="E40">
        <v>50</v>
      </c>
    </row>
    <row r="41" spans="1:5" x14ac:dyDescent="0.2">
      <c r="B41" t="s">
        <v>93</v>
      </c>
      <c r="C41" t="s">
        <v>92</v>
      </c>
      <c r="D41">
        <v>0.7</v>
      </c>
      <c r="E41">
        <v>50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2026-10-21T17:17:12Z</dcterms:modified>
</cp:coreProperties>
</file>