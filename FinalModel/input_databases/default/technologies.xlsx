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nzuijder/Documents/MSc_CSP/MfT/Individual_model/Individual/FinalModel/input_databases/default/"/>
    </mc:Choice>
  </mc:AlternateContent>
  <xr:revisionPtr revIDLastSave="0" documentId="13_ncr:1_{5BE7D714-7872-E44D-B0B3-F7894809070D}" xr6:coauthVersionLast="47" xr6:coauthVersionMax="47" xr10:uidLastSave="{00000000-0000-0000-0000-000000000000}"/>
  <bookViews>
    <workbookView xWindow="0" yWindow="600" windowWidth="28800" windowHeight="16260" activeTab="2" xr2:uid="{00000000-000D-0000-FFFF-FFFF00000000}"/>
  </bookViews>
  <sheets>
    <sheet name="static_parameters" sheetId="2" r:id="rId1"/>
    <sheet name="dynamic_parameters" sheetId="1" r:id="rId2"/>
    <sheet name="capacity_constraints" sheetId="3" r:id="rId3"/>
  </sheets>
  <definedNames>
    <definedName name="_xlnm._FilterDatabase" localSheetId="1" hidden="1">dynamic_parameters!$A$1:$H$31</definedName>
    <definedName name="_xlnm._FilterDatabase" localSheetId="0" hidden="1">static_parameters!$A$1:$F$39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1" l="1"/>
  <c r="G159" i="1"/>
  <c r="D159" i="1"/>
  <c r="D174" i="1"/>
  <c r="D175" i="1"/>
  <c r="D156" i="1"/>
  <c r="D157" i="1"/>
  <c r="D146" i="1"/>
  <c r="E29" i="3"/>
  <c r="E28" i="3"/>
  <c r="E21" i="3"/>
  <c r="E20" i="3"/>
  <c r="E7" i="3"/>
  <c r="E5" i="3" s="1"/>
  <c r="E6" i="3"/>
  <c r="E4" i="3" s="1"/>
</calcChain>
</file>

<file path=xl/sharedStrings.xml><?xml version="1.0" encoding="utf-8"?>
<sst xmlns="http://schemas.openxmlformats.org/spreadsheetml/2006/main" count="1130" uniqueCount="117">
  <si>
    <t>Technology</t>
  </si>
  <si>
    <t>Parameter</t>
  </si>
  <si>
    <t>Unit</t>
  </si>
  <si>
    <t>CCGT</t>
  </si>
  <si>
    <t>Description</t>
  </si>
  <si>
    <t>Combined cycle gas turbine</t>
  </si>
  <si>
    <t>CAPEX</t>
  </si>
  <si>
    <t>FOM</t>
  </si>
  <si>
    <t>VOM</t>
  </si>
  <si>
    <t>Efficiency</t>
  </si>
  <si>
    <t>Lifetime</t>
  </si>
  <si>
    <t>years</t>
  </si>
  <si>
    <t>Utility scale PV</t>
  </si>
  <si>
    <t>Solar</t>
  </si>
  <si>
    <t>Battery</t>
  </si>
  <si>
    <t>Utility scale battery storage</t>
  </si>
  <si>
    <t>Sector</t>
  </si>
  <si>
    <t>Power</t>
  </si>
  <si>
    <t>BEV</t>
  </si>
  <si>
    <t>Transport</t>
  </si>
  <si>
    <t>km/kWh</t>
  </si>
  <si>
    <t>€/kW</t>
  </si>
  <si>
    <t>€/kWh</t>
  </si>
  <si>
    <t>€/car</t>
  </si>
  <si>
    <t>Type</t>
  </si>
  <si>
    <t>Link</t>
  </si>
  <si>
    <t>StorageUnit</t>
  </si>
  <si>
    <t>Value</t>
  </si>
  <si>
    <t>bus0</t>
  </si>
  <si>
    <t>main input</t>
  </si>
  <si>
    <t>Gas supply</t>
  </si>
  <si>
    <t>bus1</t>
  </si>
  <si>
    <t>main output</t>
  </si>
  <si>
    <t>Efficiency_link</t>
  </si>
  <si>
    <t>Electricity</t>
  </si>
  <si>
    <t>Transportation</t>
  </si>
  <si>
    <t>ICE car</t>
  </si>
  <si>
    <t>Gasoline supply</t>
  </si>
  <si>
    <t>Generator</t>
  </si>
  <si>
    <t>Residential</t>
  </si>
  <si>
    <t>Residential Appliance</t>
  </si>
  <si>
    <t>Generic residential appliance (e.g. dishwasher, washing machine, dryer, fridge, etc)</t>
  </si>
  <si>
    <t>Residential electricity</t>
  </si>
  <si>
    <t>Solar PV</t>
  </si>
  <si>
    <t>Emissions</t>
  </si>
  <si>
    <t>tCO2/MWh_th</t>
  </si>
  <si>
    <t>bus2</t>
  </si>
  <si>
    <t>secondary output</t>
  </si>
  <si>
    <t>CO2 atmosphere</t>
  </si>
  <si>
    <t>Long name</t>
  </si>
  <si>
    <t>Passenger car: battery electric vehicle</t>
  </si>
  <si>
    <t>Passenger car: internal combustion engine vehicle</t>
  </si>
  <si>
    <t>Start year</t>
  </si>
  <si>
    <t>Wind turbine - onshore</t>
  </si>
  <si>
    <t>Wind turbine - offshore</t>
  </si>
  <si>
    <t>Generic onshore wind turbine</t>
  </si>
  <si>
    <t>Generic offshore wind turbine</t>
  </si>
  <si>
    <t>Wind onshore</t>
  </si>
  <si>
    <t>Wind offshore</t>
  </si>
  <si>
    <t>Biomass plant</t>
  </si>
  <si>
    <t>Biomass supply</t>
  </si>
  <si>
    <t>Nuclear plant</t>
  </si>
  <si>
    <t>Traditional large-scale nuclear power plant</t>
  </si>
  <si>
    <t>Nuclear supply</t>
  </si>
  <si>
    <t>CCGT CCS</t>
  </si>
  <si>
    <t>Combined cycle gas turbine with CCS</t>
  </si>
  <si>
    <t>bus3</t>
  </si>
  <si>
    <t>tertiary output</t>
  </si>
  <si>
    <t>Captured CO2</t>
  </si>
  <si>
    <t>CO2 storage</t>
  </si>
  <si>
    <t>Biomass plant CCS</t>
  </si>
  <si>
    <t>Biomass + CCS (BECCS), net negative emissions</t>
  </si>
  <si>
    <t>Residential gas boiler</t>
  </si>
  <si>
    <t>Gas boiler to generate space and water heating</t>
  </si>
  <si>
    <t>Residential heat</t>
  </si>
  <si>
    <t>Residential heat pump</t>
  </si>
  <si>
    <t>Air-to-water heat pump to generate space and water heating</t>
  </si>
  <si>
    <t>Industrial machinery - fossil</t>
  </si>
  <si>
    <t>Generic industrial machinery running on fossil energy</t>
  </si>
  <si>
    <t>Industry</t>
  </si>
  <si>
    <t>Industrial machinery</t>
  </si>
  <si>
    <t>Industrial machinery - fossil CCS</t>
  </si>
  <si>
    <t>Generic industrial machinery running on fossil energy + CCS</t>
  </si>
  <si>
    <t>Industrial machinery - electricity</t>
  </si>
  <si>
    <t>Generic industrial machinery running on electricity</t>
  </si>
  <si>
    <t>Industrial HTP - fossil</t>
  </si>
  <si>
    <t>Generic industrial high temperature process running on fossil energy</t>
  </si>
  <si>
    <t>Industrial HTP</t>
  </si>
  <si>
    <t>Industrial HTP - fossil CCS</t>
  </si>
  <si>
    <t>Generic industrial high temperature process running on fossil energy + CCS</t>
  </si>
  <si>
    <t>adjustment factor</t>
  </si>
  <si>
    <t>min</t>
  </si>
  <si>
    <t>MW</t>
  </si>
  <si>
    <t>max</t>
  </si>
  <si>
    <t>CCGT - existing</t>
  </si>
  <si>
    <t>BEV - existing</t>
  </si>
  <si>
    <t>Mkm/h</t>
  </si>
  <si>
    <t>ICE car - existing</t>
  </si>
  <si>
    <t>Industrial machinery - fossil - existing</t>
  </si>
  <si>
    <t>Industrial HTP - fossil - existing</t>
  </si>
  <si>
    <t>Residential gas boiler - existing</t>
  </si>
  <si>
    <t>Generic industrial machinery running on fossil energy - existing base</t>
  </si>
  <si>
    <t>Generic industrial high temperature process running on fossil energy - existing base</t>
  </si>
  <si>
    <t>Steam Methane Reforming</t>
  </si>
  <si>
    <t>Hydrogen</t>
  </si>
  <si>
    <t>SMR with CCS</t>
  </si>
  <si>
    <t>Steam Methane Reforming with Carbon Capture</t>
  </si>
  <si>
    <t>SMR</t>
  </si>
  <si>
    <t>Electrolysis</t>
  </si>
  <si>
    <t>Electrolysis - existing</t>
  </si>
  <si>
    <t>SMR - existing</t>
  </si>
  <si>
    <t>SMR with CCS - existing</t>
  </si>
  <si>
    <t>Large-scale heat pump</t>
  </si>
  <si>
    <t>Industrial gas boiler</t>
  </si>
  <si>
    <t>Industrial LTP</t>
  </si>
  <si>
    <t>Industrial gas boiler - existing</t>
  </si>
  <si>
    <t>Large-scale heat pump - 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</si>
</sst>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3F7-9EA9-4235-9872-78FDC34EDD32}">
  <dimension ref="A1:F209"/>
  <sheetViews>
    <sheetView zoomScale="111" zoomScaleNormal="85" workbookViewId="0">
      <pane ySplit="1" topLeftCell="A188" activePane="bottomLeft" state="frozen"/>
      <selection pane="bottomLeft" activeCell="B215" sqref="B215"/>
    </sheetView>
  </sheetViews>
  <sheetFormatPr baseColWidth="10" defaultColWidth="8.83203125" defaultRowHeight="15" x14ac:dyDescent="0.2"/>
  <cols>
    <col min="1" max="1" width="34.83203125" bestFit="1" customWidth="1"/>
    <col min="2" max="2" width="15.5" customWidth="1"/>
    <col min="3" max="3" width="25.6640625" bestFit="1" customWidth="1"/>
    <col min="4" max="4" width="15.5" customWidth="1"/>
    <col min="5" max="5" width="36.33203125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33</v>
      </c>
      <c r="E1" t="s">
        <v>27</v>
      </c>
      <c r="F1" t="s">
        <v>2</v>
      </c>
    </row>
    <row r="2" spans="1:6" x14ac:dyDescent="0.2">
      <c r="A2" t="s">
        <v>3</v>
      </c>
      <c r="B2" t="s">
        <v>49</v>
      </c>
      <c r="E2" t="s">
        <v>5</v>
      </c>
    </row>
    <row r="3" spans="1:6" x14ac:dyDescent="0.2">
      <c r="B3" t="s">
        <v>16</v>
      </c>
      <c r="E3" t="s">
        <v>17</v>
      </c>
    </row>
    <row r="4" spans="1:6" x14ac:dyDescent="0.2">
      <c r="B4" t="s">
        <v>24</v>
      </c>
      <c r="E4" t="s">
        <v>25</v>
      </c>
    </row>
    <row r="5" spans="1:6" x14ac:dyDescent="0.2">
      <c r="B5" t="s">
        <v>28</v>
      </c>
      <c r="C5" t="s">
        <v>29</v>
      </c>
      <c r="E5" t="s">
        <v>30</v>
      </c>
    </row>
    <row r="6" spans="1:6" x14ac:dyDescent="0.2">
      <c r="B6" t="s">
        <v>31</v>
      </c>
      <c r="C6" t="s">
        <v>32</v>
      </c>
      <c r="D6" t="s">
        <v>9</v>
      </c>
      <c r="E6" t="s">
        <v>34</v>
      </c>
    </row>
    <row r="7" spans="1:6" x14ac:dyDescent="0.2">
      <c r="B7" t="s">
        <v>46</v>
      </c>
      <c r="C7" t="s">
        <v>47</v>
      </c>
      <c r="D7" t="s">
        <v>44</v>
      </c>
      <c r="E7" t="s">
        <v>48</v>
      </c>
    </row>
    <row r="8" spans="1:6" x14ac:dyDescent="0.2">
      <c r="A8" t="s">
        <v>59</v>
      </c>
      <c r="B8" t="s">
        <v>49</v>
      </c>
      <c r="E8" t="s">
        <v>59</v>
      </c>
    </row>
    <row r="9" spans="1:6" x14ac:dyDescent="0.2">
      <c r="B9" t="s">
        <v>16</v>
      </c>
      <c r="E9" t="s">
        <v>17</v>
      </c>
    </row>
    <row r="10" spans="1:6" x14ac:dyDescent="0.2">
      <c r="B10" t="s">
        <v>24</v>
      </c>
      <c r="E10" t="s">
        <v>25</v>
      </c>
    </row>
    <row r="11" spans="1:6" x14ac:dyDescent="0.2">
      <c r="B11" t="s">
        <v>28</v>
      </c>
      <c r="C11" t="s">
        <v>29</v>
      </c>
      <c r="E11" t="s">
        <v>60</v>
      </c>
    </row>
    <row r="12" spans="1:6" x14ac:dyDescent="0.2">
      <c r="B12" t="s">
        <v>31</v>
      </c>
      <c r="C12" t="s">
        <v>32</v>
      </c>
      <c r="D12" t="s">
        <v>9</v>
      </c>
      <c r="E12" t="s">
        <v>34</v>
      </c>
    </row>
    <row r="13" spans="1:6" x14ac:dyDescent="0.2">
      <c r="A13" t="s">
        <v>61</v>
      </c>
      <c r="B13" t="s">
        <v>49</v>
      </c>
      <c r="E13" t="s">
        <v>62</v>
      </c>
    </row>
    <row r="14" spans="1:6" x14ac:dyDescent="0.2">
      <c r="B14" t="s">
        <v>16</v>
      </c>
      <c r="E14" t="s">
        <v>17</v>
      </c>
    </row>
    <row r="15" spans="1:6" x14ac:dyDescent="0.2">
      <c r="B15" t="s">
        <v>24</v>
      </c>
      <c r="E15" t="s">
        <v>25</v>
      </c>
    </row>
    <row r="16" spans="1:6" x14ac:dyDescent="0.2">
      <c r="B16" t="s">
        <v>28</v>
      </c>
      <c r="C16" t="s">
        <v>29</v>
      </c>
      <c r="E16" t="s">
        <v>63</v>
      </c>
    </row>
    <row r="17" spans="1:5" x14ac:dyDescent="0.2">
      <c r="B17" t="s">
        <v>31</v>
      </c>
      <c r="C17" t="s">
        <v>32</v>
      </c>
      <c r="D17" t="s">
        <v>9</v>
      </c>
      <c r="E17" t="s">
        <v>34</v>
      </c>
    </row>
    <row r="18" spans="1:5" x14ac:dyDescent="0.2">
      <c r="A18" t="s">
        <v>43</v>
      </c>
      <c r="B18" t="s">
        <v>49</v>
      </c>
      <c r="E18" t="s">
        <v>12</v>
      </c>
    </row>
    <row r="19" spans="1:5" x14ac:dyDescent="0.2">
      <c r="B19" t="s">
        <v>16</v>
      </c>
      <c r="E19" t="s">
        <v>17</v>
      </c>
    </row>
    <row r="20" spans="1:5" x14ac:dyDescent="0.2">
      <c r="B20" t="s">
        <v>24</v>
      </c>
      <c r="E20" t="s">
        <v>38</v>
      </c>
    </row>
    <row r="21" spans="1:5" x14ac:dyDescent="0.2">
      <c r="B21" t="s">
        <v>28</v>
      </c>
      <c r="C21" t="s">
        <v>29</v>
      </c>
      <c r="E21" t="s">
        <v>13</v>
      </c>
    </row>
    <row r="22" spans="1:5" x14ac:dyDescent="0.2">
      <c r="B22" t="s">
        <v>31</v>
      </c>
      <c r="C22" t="s">
        <v>32</v>
      </c>
      <c r="D22" t="s">
        <v>9</v>
      </c>
      <c r="E22" t="s">
        <v>34</v>
      </c>
    </row>
    <row r="23" spans="1:5" x14ac:dyDescent="0.2">
      <c r="A23" t="s">
        <v>53</v>
      </c>
      <c r="B23" t="s">
        <v>49</v>
      </c>
      <c r="E23" t="s">
        <v>55</v>
      </c>
    </row>
    <row r="24" spans="1:5" x14ac:dyDescent="0.2">
      <c r="B24" t="s">
        <v>16</v>
      </c>
      <c r="E24" t="s">
        <v>17</v>
      </c>
    </row>
    <row r="25" spans="1:5" x14ac:dyDescent="0.2">
      <c r="B25" t="s">
        <v>24</v>
      </c>
      <c r="E25" t="s">
        <v>38</v>
      </c>
    </row>
    <row r="26" spans="1:5" x14ac:dyDescent="0.2">
      <c r="B26" t="s">
        <v>28</v>
      </c>
      <c r="C26" t="s">
        <v>29</v>
      </c>
      <c r="E26" t="s">
        <v>57</v>
      </c>
    </row>
    <row r="27" spans="1:5" x14ac:dyDescent="0.2">
      <c r="B27" t="s">
        <v>31</v>
      </c>
      <c r="C27" t="s">
        <v>32</v>
      </c>
      <c r="D27" t="s">
        <v>9</v>
      </c>
      <c r="E27" t="s">
        <v>34</v>
      </c>
    </row>
    <row r="28" spans="1:5" x14ac:dyDescent="0.2">
      <c r="A28" t="s">
        <v>54</v>
      </c>
      <c r="B28" t="s">
        <v>49</v>
      </c>
      <c r="E28" t="s">
        <v>56</v>
      </c>
    </row>
    <row r="29" spans="1:5" x14ac:dyDescent="0.2">
      <c r="B29" t="s">
        <v>16</v>
      </c>
      <c r="E29" t="s">
        <v>17</v>
      </c>
    </row>
    <row r="30" spans="1:5" x14ac:dyDescent="0.2">
      <c r="B30" t="s">
        <v>24</v>
      </c>
      <c r="E30" t="s">
        <v>38</v>
      </c>
    </row>
    <row r="31" spans="1:5" x14ac:dyDescent="0.2">
      <c r="B31" t="s">
        <v>28</v>
      </c>
      <c r="C31" t="s">
        <v>29</v>
      </c>
      <c r="E31" t="s">
        <v>58</v>
      </c>
    </row>
    <row r="32" spans="1:5" x14ac:dyDescent="0.2">
      <c r="B32" t="s">
        <v>31</v>
      </c>
      <c r="C32" t="s">
        <v>32</v>
      </c>
      <c r="D32" t="s">
        <v>9</v>
      </c>
      <c r="E32" t="s">
        <v>34</v>
      </c>
    </row>
    <row r="33" spans="1:5" x14ac:dyDescent="0.2">
      <c r="A33" t="s">
        <v>18</v>
      </c>
      <c r="B33" t="s">
        <v>49</v>
      </c>
      <c r="E33" t="s">
        <v>50</v>
      </c>
    </row>
    <row r="34" spans="1:5" x14ac:dyDescent="0.2">
      <c r="B34" t="s">
        <v>16</v>
      </c>
      <c r="E34" t="s">
        <v>19</v>
      </c>
    </row>
    <row r="35" spans="1:5" x14ac:dyDescent="0.2">
      <c r="B35" t="s">
        <v>24</v>
      </c>
      <c r="E35" t="s">
        <v>25</v>
      </c>
    </row>
    <row r="36" spans="1:5" x14ac:dyDescent="0.2">
      <c r="B36" t="s">
        <v>28</v>
      </c>
      <c r="C36" t="s">
        <v>29</v>
      </c>
      <c r="E36" t="s">
        <v>34</v>
      </c>
    </row>
    <row r="37" spans="1:5" x14ac:dyDescent="0.2">
      <c r="B37" t="s">
        <v>31</v>
      </c>
      <c r="C37" t="s">
        <v>32</v>
      </c>
      <c r="D37" t="s">
        <v>9</v>
      </c>
      <c r="E37" t="s">
        <v>35</v>
      </c>
    </row>
    <row r="38" spans="1:5" x14ac:dyDescent="0.2">
      <c r="A38" t="s">
        <v>36</v>
      </c>
      <c r="B38" t="s">
        <v>49</v>
      </c>
      <c r="E38" t="s">
        <v>51</v>
      </c>
    </row>
    <row r="39" spans="1:5" x14ac:dyDescent="0.2">
      <c r="B39" t="s">
        <v>16</v>
      </c>
      <c r="E39" t="s">
        <v>19</v>
      </c>
    </row>
    <row r="40" spans="1:5" x14ac:dyDescent="0.2">
      <c r="B40" t="s">
        <v>24</v>
      </c>
      <c r="E40" t="s">
        <v>25</v>
      </c>
    </row>
    <row r="41" spans="1:5" x14ac:dyDescent="0.2">
      <c r="B41" t="s">
        <v>28</v>
      </c>
      <c r="C41" t="s">
        <v>29</v>
      </c>
      <c r="E41" t="s">
        <v>37</v>
      </c>
    </row>
    <row r="42" spans="1:5" x14ac:dyDescent="0.2">
      <c r="B42" t="s">
        <v>31</v>
      </c>
      <c r="C42" t="s">
        <v>32</v>
      </c>
      <c r="D42" t="s">
        <v>9</v>
      </c>
      <c r="E42" t="s">
        <v>35</v>
      </c>
    </row>
    <row r="43" spans="1:5" x14ac:dyDescent="0.2">
      <c r="B43" t="s">
        <v>46</v>
      </c>
      <c r="C43" t="s">
        <v>47</v>
      </c>
      <c r="D43" t="s">
        <v>44</v>
      </c>
      <c r="E43" t="s">
        <v>48</v>
      </c>
    </row>
    <row r="44" spans="1:5" x14ac:dyDescent="0.2">
      <c r="A44" t="s">
        <v>40</v>
      </c>
      <c r="B44" t="s">
        <v>49</v>
      </c>
      <c r="E44" t="s">
        <v>41</v>
      </c>
    </row>
    <row r="45" spans="1:5" x14ac:dyDescent="0.2">
      <c r="B45" t="s">
        <v>16</v>
      </c>
      <c r="E45" t="s">
        <v>39</v>
      </c>
    </row>
    <row r="46" spans="1:5" x14ac:dyDescent="0.2">
      <c r="B46" t="s">
        <v>24</v>
      </c>
      <c r="E46" t="s">
        <v>25</v>
      </c>
    </row>
    <row r="47" spans="1:5" x14ac:dyDescent="0.2">
      <c r="B47" t="s">
        <v>28</v>
      </c>
      <c r="C47" t="s">
        <v>29</v>
      </c>
      <c r="E47" t="s">
        <v>34</v>
      </c>
    </row>
    <row r="48" spans="1:5" x14ac:dyDescent="0.2">
      <c r="B48" t="s">
        <v>31</v>
      </c>
      <c r="C48" t="s">
        <v>32</v>
      </c>
      <c r="D48" t="s">
        <v>9</v>
      </c>
      <c r="E48" t="s">
        <v>42</v>
      </c>
    </row>
    <row r="49" spans="1:5" x14ac:dyDescent="0.2">
      <c r="A49" t="s">
        <v>14</v>
      </c>
      <c r="B49" t="s">
        <v>49</v>
      </c>
      <c r="E49" t="s">
        <v>15</v>
      </c>
    </row>
    <row r="50" spans="1:5" x14ac:dyDescent="0.2">
      <c r="B50" t="s">
        <v>16</v>
      </c>
      <c r="E50" t="s">
        <v>17</v>
      </c>
    </row>
    <row r="51" spans="1:5" x14ac:dyDescent="0.2">
      <c r="B51" t="s">
        <v>24</v>
      </c>
      <c r="E51" t="s">
        <v>26</v>
      </c>
    </row>
    <row r="52" spans="1:5" x14ac:dyDescent="0.2">
      <c r="B52" t="s">
        <v>28</v>
      </c>
      <c r="C52" t="s">
        <v>29</v>
      </c>
      <c r="E52" t="s">
        <v>34</v>
      </c>
    </row>
    <row r="53" spans="1:5" x14ac:dyDescent="0.2">
      <c r="B53" t="s">
        <v>31</v>
      </c>
      <c r="C53" t="s">
        <v>32</v>
      </c>
      <c r="D53" t="s">
        <v>9</v>
      </c>
      <c r="E53" t="s">
        <v>34</v>
      </c>
    </row>
    <row r="54" spans="1:5" x14ac:dyDescent="0.2">
      <c r="B54" t="s">
        <v>52</v>
      </c>
      <c r="E54">
        <v>2030</v>
      </c>
    </row>
    <row r="55" spans="1:5" x14ac:dyDescent="0.2">
      <c r="A55" t="s">
        <v>64</v>
      </c>
      <c r="B55" t="s">
        <v>49</v>
      </c>
      <c r="E55" t="s">
        <v>65</v>
      </c>
    </row>
    <row r="56" spans="1:5" x14ac:dyDescent="0.2">
      <c r="B56" t="s">
        <v>16</v>
      </c>
      <c r="E56" t="s">
        <v>17</v>
      </c>
    </row>
    <row r="57" spans="1:5" x14ac:dyDescent="0.2">
      <c r="B57" t="s">
        <v>24</v>
      </c>
      <c r="E57" t="s">
        <v>25</v>
      </c>
    </row>
    <row r="58" spans="1:5" x14ac:dyDescent="0.2">
      <c r="B58" t="s">
        <v>28</v>
      </c>
      <c r="C58" t="s">
        <v>29</v>
      </c>
      <c r="E58" t="s">
        <v>30</v>
      </c>
    </row>
    <row r="59" spans="1:5" x14ac:dyDescent="0.2">
      <c r="B59" t="s">
        <v>31</v>
      </c>
      <c r="C59" t="s">
        <v>32</v>
      </c>
      <c r="D59" t="s">
        <v>9</v>
      </c>
      <c r="E59" t="s">
        <v>34</v>
      </c>
    </row>
    <row r="60" spans="1:5" x14ac:dyDescent="0.2">
      <c r="B60" t="s">
        <v>46</v>
      </c>
      <c r="C60" t="s">
        <v>47</v>
      </c>
      <c r="D60" t="s">
        <v>44</v>
      </c>
      <c r="E60" t="s">
        <v>48</v>
      </c>
    </row>
    <row r="61" spans="1:5" x14ac:dyDescent="0.2">
      <c r="B61" t="s">
        <v>66</v>
      </c>
      <c r="C61" t="s">
        <v>67</v>
      </c>
      <c r="D61" t="s">
        <v>68</v>
      </c>
      <c r="E61" t="s">
        <v>69</v>
      </c>
    </row>
    <row r="62" spans="1:5" x14ac:dyDescent="0.2">
      <c r="B62" t="s">
        <v>52</v>
      </c>
      <c r="E62">
        <v>2030</v>
      </c>
    </row>
    <row r="63" spans="1:5" x14ac:dyDescent="0.2">
      <c r="A63" t="s">
        <v>70</v>
      </c>
      <c r="B63" t="s">
        <v>49</v>
      </c>
      <c r="E63" t="s">
        <v>71</v>
      </c>
    </row>
    <row r="64" spans="1:5" x14ac:dyDescent="0.2">
      <c r="B64" t="s">
        <v>16</v>
      </c>
      <c r="E64" t="s">
        <v>17</v>
      </c>
    </row>
    <row r="65" spans="1:5" x14ac:dyDescent="0.2">
      <c r="B65" t="s">
        <v>24</v>
      </c>
      <c r="E65" t="s">
        <v>25</v>
      </c>
    </row>
    <row r="66" spans="1:5" x14ac:dyDescent="0.2">
      <c r="B66" t="s">
        <v>28</v>
      </c>
      <c r="C66" t="s">
        <v>29</v>
      </c>
      <c r="E66" t="s">
        <v>60</v>
      </c>
    </row>
    <row r="67" spans="1:5" x14ac:dyDescent="0.2">
      <c r="B67" t="s">
        <v>31</v>
      </c>
      <c r="C67" t="s">
        <v>32</v>
      </c>
      <c r="D67" t="s">
        <v>9</v>
      </c>
      <c r="E67" t="s">
        <v>34</v>
      </c>
    </row>
    <row r="68" spans="1:5" x14ac:dyDescent="0.2">
      <c r="B68" t="s">
        <v>46</v>
      </c>
      <c r="C68" t="s">
        <v>47</v>
      </c>
      <c r="D68" t="s">
        <v>44</v>
      </c>
      <c r="E68" t="s">
        <v>48</v>
      </c>
    </row>
    <row r="69" spans="1:5" x14ac:dyDescent="0.2">
      <c r="B69" t="s">
        <v>66</v>
      </c>
      <c r="C69" t="s">
        <v>67</v>
      </c>
      <c r="D69" t="s">
        <v>68</v>
      </c>
      <c r="E69" t="s">
        <v>69</v>
      </c>
    </row>
    <row r="70" spans="1:5" x14ac:dyDescent="0.2">
      <c r="B70" t="s">
        <v>52</v>
      </c>
      <c r="E70">
        <v>2030</v>
      </c>
    </row>
    <row r="71" spans="1:5" x14ac:dyDescent="0.2">
      <c r="A71" t="s">
        <v>72</v>
      </c>
      <c r="B71" t="s">
        <v>49</v>
      </c>
      <c r="E71" t="s">
        <v>73</v>
      </c>
    </row>
    <row r="72" spans="1:5" x14ac:dyDescent="0.2">
      <c r="B72" t="s">
        <v>16</v>
      </c>
      <c r="E72" t="s">
        <v>39</v>
      </c>
    </row>
    <row r="73" spans="1:5" x14ac:dyDescent="0.2">
      <c r="B73" t="s">
        <v>24</v>
      </c>
      <c r="E73" t="s">
        <v>25</v>
      </c>
    </row>
    <row r="74" spans="1:5" x14ac:dyDescent="0.2">
      <c r="B74" t="s">
        <v>28</v>
      </c>
      <c r="C74" t="s">
        <v>29</v>
      </c>
      <c r="E74" t="s">
        <v>30</v>
      </c>
    </row>
    <row r="75" spans="1:5" x14ac:dyDescent="0.2">
      <c r="B75" t="s">
        <v>31</v>
      </c>
      <c r="C75" t="s">
        <v>32</v>
      </c>
      <c r="D75" t="s">
        <v>9</v>
      </c>
      <c r="E75" t="s">
        <v>74</v>
      </c>
    </row>
    <row r="76" spans="1:5" x14ac:dyDescent="0.2">
      <c r="B76" t="s">
        <v>46</v>
      </c>
      <c r="C76" t="s">
        <v>47</v>
      </c>
      <c r="D76" t="s">
        <v>44</v>
      </c>
      <c r="E76" t="s">
        <v>48</v>
      </c>
    </row>
    <row r="77" spans="1:5" x14ac:dyDescent="0.2">
      <c r="A77" t="s">
        <v>75</v>
      </c>
      <c r="B77" t="s">
        <v>49</v>
      </c>
      <c r="E77" t="s">
        <v>76</v>
      </c>
    </row>
    <row r="78" spans="1:5" x14ac:dyDescent="0.2">
      <c r="B78" t="s">
        <v>16</v>
      </c>
      <c r="E78" t="s">
        <v>39</v>
      </c>
    </row>
    <row r="79" spans="1:5" x14ac:dyDescent="0.2">
      <c r="B79" t="s">
        <v>24</v>
      </c>
      <c r="E79" t="s">
        <v>25</v>
      </c>
    </row>
    <row r="80" spans="1:5" x14ac:dyDescent="0.2">
      <c r="B80" t="s">
        <v>28</v>
      </c>
      <c r="C80" t="s">
        <v>29</v>
      </c>
      <c r="E80" t="s">
        <v>34</v>
      </c>
    </row>
    <row r="81" spans="1:5" x14ac:dyDescent="0.2">
      <c r="B81" t="s">
        <v>31</v>
      </c>
      <c r="C81" t="s">
        <v>32</v>
      </c>
      <c r="D81" t="s">
        <v>9</v>
      </c>
      <c r="E81" t="s">
        <v>74</v>
      </c>
    </row>
    <row r="82" spans="1:5" x14ac:dyDescent="0.2">
      <c r="A82" t="s">
        <v>77</v>
      </c>
      <c r="B82" t="s">
        <v>49</v>
      </c>
      <c r="E82" t="s">
        <v>78</v>
      </c>
    </row>
    <row r="83" spans="1:5" x14ac:dyDescent="0.2">
      <c r="B83" t="s">
        <v>16</v>
      </c>
      <c r="E83" t="s">
        <v>79</v>
      </c>
    </row>
    <row r="84" spans="1:5" x14ac:dyDescent="0.2">
      <c r="B84" t="s">
        <v>24</v>
      </c>
      <c r="E84" t="s">
        <v>25</v>
      </c>
    </row>
    <row r="85" spans="1:5" x14ac:dyDescent="0.2">
      <c r="B85" t="s">
        <v>28</v>
      </c>
      <c r="C85" t="s">
        <v>29</v>
      </c>
      <c r="E85" t="s">
        <v>30</v>
      </c>
    </row>
    <row r="86" spans="1:5" x14ac:dyDescent="0.2">
      <c r="B86" t="s">
        <v>31</v>
      </c>
      <c r="C86" t="s">
        <v>32</v>
      </c>
      <c r="D86" t="s">
        <v>9</v>
      </c>
      <c r="E86" t="s">
        <v>80</v>
      </c>
    </row>
    <row r="87" spans="1:5" x14ac:dyDescent="0.2">
      <c r="B87" t="s">
        <v>46</v>
      </c>
      <c r="C87" t="s">
        <v>47</v>
      </c>
      <c r="D87" t="s">
        <v>44</v>
      </c>
      <c r="E87" t="s">
        <v>48</v>
      </c>
    </row>
    <row r="88" spans="1:5" x14ac:dyDescent="0.2">
      <c r="A88" t="s">
        <v>81</v>
      </c>
      <c r="B88" t="s">
        <v>49</v>
      </c>
      <c r="E88" t="s">
        <v>82</v>
      </c>
    </row>
    <row r="89" spans="1:5" x14ac:dyDescent="0.2">
      <c r="B89" t="s">
        <v>16</v>
      </c>
      <c r="E89" t="s">
        <v>79</v>
      </c>
    </row>
    <row r="90" spans="1:5" x14ac:dyDescent="0.2">
      <c r="B90" t="s">
        <v>24</v>
      </c>
      <c r="E90" t="s">
        <v>25</v>
      </c>
    </row>
    <row r="91" spans="1:5" x14ac:dyDescent="0.2">
      <c r="B91" t="s">
        <v>28</v>
      </c>
      <c r="C91" t="s">
        <v>29</v>
      </c>
      <c r="E91" t="s">
        <v>30</v>
      </c>
    </row>
    <row r="92" spans="1:5" x14ac:dyDescent="0.2">
      <c r="B92" t="s">
        <v>31</v>
      </c>
      <c r="C92" t="s">
        <v>32</v>
      </c>
      <c r="D92" t="s">
        <v>9</v>
      </c>
      <c r="E92" t="s">
        <v>80</v>
      </c>
    </row>
    <row r="93" spans="1:5" x14ac:dyDescent="0.2">
      <c r="B93" t="s">
        <v>46</v>
      </c>
      <c r="C93" t="s">
        <v>47</v>
      </c>
      <c r="D93" t="s">
        <v>44</v>
      </c>
      <c r="E93" t="s">
        <v>48</v>
      </c>
    </row>
    <row r="94" spans="1:5" x14ac:dyDescent="0.2">
      <c r="B94" t="s">
        <v>66</v>
      </c>
      <c r="C94" t="s">
        <v>67</v>
      </c>
      <c r="D94" t="s">
        <v>68</v>
      </c>
      <c r="E94" t="s">
        <v>69</v>
      </c>
    </row>
    <row r="95" spans="1:5" x14ac:dyDescent="0.2">
      <c r="B95" t="s">
        <v>52</v>
      </c>
      <c r="E95">
        <v>2030</v>
      </c>
    </row>
    <row r="96" spans="1:5" x14ac:dyDescent="0.2">
      <c r="A96" t="s">
        <v>83</v>
      </c>
      <c r="B96" t="s">
        <v>49</v>
      </c>
      <c r="E96" t="s">
        <v>84</v>
      </c>
    </row>
    <row r="97" spans="1:5" x14ac:dyDescent="0.2">
      <c r="B97" t="s">
        <v>16</v>
      </c>
      <c r="E97" t="s">
        <v>79</v>
      </c>
    </row>
    <row r="98" spans="1:5" x14ac:dyDescent="0.2">
      <c r="B98" t="s">
        <v>24</v>
      </c>
      <c r="E98" t="s">
        <v>25</v>
      </c>
    </row>
    <row r="99" spans="1:5" x14ac:dyDescent="0.2">
      <c r="B99" t="s">
        <v>28</v>
      </c>
      <c r="C99" t="s">
        <v>29</v>
      </c>
      <c r="E99" t="s">
        <v>34</v>
      </c>
    </row>
    <row r="100" spans="1:5" x14ac:dyDescent="0.2">
      <c r="B100" t="s">
        <v>31</v>
      </c>
      <c r="C100" t="s">
        <v>32</v>
      </c>
      <c r="D100" t="s">
        <v>9</v>
      </c>
      <c r="E100" t="s">
        <v>80</v>
      </c>
    </row>
    <row r="101" spans="1:5" x14ac:dyDescent="0.2">
      <c r="A101" t="s">
        <v>85</v>
      </c>
      <c r="B101" t="s">
        <v>49</v>
      </c>
      <c r="E101" t="s">
        <v>86</v>
      </c>
    </row>
    <row r="102" spans="1:5" x14ac:dyDescent="0.2">
      <c r="B102" t="s">
        <v>16</v>
      </c>
      <c r="E102" t="s">
        <v>79</v>
      </c>
    </row>
    <row r="103" spans="1:5" x14ac:dyDescent="0.2">
      <c r="B103" t="s">
        <v>24</v>
      </c>
      <c r="E103" t="s">
        <v>25</v>
      </c>
    </row>
    <row r="104" spans="1:5" x14ac:dyDescent="0.2">
      <c r="B104" t="s">
        <v>28</v>
      </c>
      <c r="C104" t="s">
        <v>29</v>
      </c>
      <c r="E104" t="s">
        <v>30</v>
      </c>
    </row>
    <row r="105" spans="1:5" x14ac:dyDescent="0.2">
      <c r="B105" t="s">
        <v>31</v>
      </c>
      <c r="C105" t="s">
        <v>32</v>
      </c>
      <c r="D105" t="s">
        <v>9</v>
      </c>
      <c r="E105" t="s">
        <v>87</v>
      </c>
    </row>
    <row r="106" spans="1:5" x14ac:dyDescent="0.2">
      <c r="B106" t="s">
        <v>46</v>
      </c>
      <c r="C106" t="s">
        <v>47</v>
      </c>
      <c r="D106" t="s">
        <v>44</v>
      </c>
      <c r="E106" t="s">
        <v>48</v>
      </c>
    </row>
    <row r="107" spans="1:5" x14ac:dyDescent="0.2">
      <c r="A107" t="s">
        <v>88</v>
      </c>
      <c r="B107" t="s">
        <v>49</v>
      </c>
      <c r="E107" t="s">
        <v>89</v>
      </c>
    </row>
    <row r="108" spans="1:5" x14ac:dyDescent="0.2">
      <c r="B108" t="s">
        <v>16</v>
      </c>
      <c r="E108" t="s">
        <v>79</v>
      </c>
    </row>
    <row r="109" spans="1:5" x14ac:dyDescent="0.2">
      <c r="B109" t="s">
        <v>24</v>
      </c>
      <c r="E109" t="s">
        <v>25</v>
      </c>
    </row>
    <row r="110" spans="1:5" x14ac:dyDescent="0.2">
      <c r="B110" t="s">
        <v>28</v>
      </c>
      <c r="C110" t="s">
        <v>29</v>
      </c>
      <c r="E110" t="s">
        <v>30</v>
      </c>
    </row>
    <row r="111" spans="1:5" x14ac:dyDescent="0.2">
      <c r="B111" t="s">
        <v>31</v>
      </c>
      <c r="C111" t="s">
        <v>32</v>
      </c>
      <c r="D111" t="s">
        <v>9</v>
      </c>
      <c r="E111" t="s">
        <v>87</v>
      </c>
    </row>
    <row r="112" spans="1:5" x14ac:dyDescent="0.2">
      <c r="B112" t="s">
        <v>46</v>
      </c>
      <c r="C112" t="s">
        <v>47</v>
      </c>
      <c r="D112" t="s">
        <v>44</v>
      </c>
      <c r="E112" t="s">
        <v>48</v>
      </c>
    </row>
    <row r="113" spans="1:5" x14ac:dyDescent="0.2">
      <c r="B113" t="s">
        <v>66</v>
      </c>
      <c r="C113" t="s">
        <v>67</v>
      </c>
      <c r="D113" t="s">
        <v>68</v>
      </c>
      <c r="E113" t="s">
        <v>69</v>
      </c>
    </row>
    <row r="114" spans="1:5" x14ac:dyDescent="0.2">
      <c r="B114" t="s">
        <v>52</v>
      </c>
      <c r="E114">
        <v>2030</v>
      </c>
    </row>
    <row r="115" spans="1:5" x14ac:dyDescent="0.2">
      <c r="A115" t="s">
        <v>95</v>
      </c>
      <c r="B115" t="s">
        <v>49</v>
      </c>
      <c r="E115" t="s">
        <v>50</v>
      </c>
    </row>
    <row r="116" spans="1:5" x14ac:dyDescent="0.2">
      <c r="B116" t="s">
        <v>16</v>
      </c>
      <c r="E116" t="s">
        <v>19</v>
      </c>
    </row>
    <row r="117" spans="1:5" x14ac:dyDescent="0.2">
      <c r="B117" t="s">
        <v>24</v>
      </c>
      <c r="E117" t="s">
        <v>25</v>
      </c>
    </row>
    <row r="118" spans="1:5" x14ac:dyDescent="0.2">
      <c r="B118" t="s">
        <v>28</v>
      </c>
      <c r="C118" t="s">
        <v>29</v>
      </c>
      <c r="E118" t="s">
        <v>34</v>
      </c>
    </row>
    <row r="119" spans="1:5" x14ac:dyDescent="0.2">
      <c r="B119" t="s">
        <v>31</v>
      </c>
      <c r="C119" t="s">
        <v>32</v>
      </c>
      <c r="D119" t="s">
        <v>9</v>
      </c>
      <c r="E119" t="s">
        <v>35</v>
      </c>
    </row>
    <row r="120" spans="1:5" x14ac:dyDescent="0.2">
      <c r="A120" t="s">
        <v>97</v>
      </c>
      <c r="B120" t="s">
        <v>49</v>
      </c>
      <c r="E120" t="s">
        <v>51</v>
      </c>
    </row>
    <row r="121" spans="1:5" x14ac:dyDescent="0.2">
      <c r="B121" t="s">
        <v>16</v>
      </c>
      <c r="E121" t="s">
        <v>19</v>
      </c>
    </row>
    <row r="122" spans="1:5" x14ac:dyDescent="0.2">
      <c r="B122" t="s">
        <v>24</v>
      </c>
      <c r="E122" t="s">
        <v>25</v>
      </c>
    </row>
    <row r="123" spans="1:5" x14ac:dyDescent="0.2">
      <c r="B123" t="s">
        <v>28</v>
      </c>
      <c r="C123" t="s">
        <v>29</v>
      </c>
      <c r="E123" t="s">
        <v>37</v>
      </c>
    </row>
    <row r="124" spans="1:5" x14ac:dyDescent="0.2">
      <c r="B124" t="s">
        <v>31</v>
      </c>
      <c r="C124" t="s">
        <v>32</v>
      </c>
      <c r="D124" t="s">
        <v>9</v>
      </c>
      <c r="E124" t="s">
        <v>35</v>
      </c>
    </row>
    <row r="125" spans="1:5" x14ac:dyDescent="0.2">
      <c r="B125" t="s">
        <v>46</v>
      </c>
      <c r="C125" t="s">
        <v>47</v>
      </c>
      <c r="D125" t="s">
        <v>44</v>
      </c>
      <c r="E125" t="s">
        <v>48</v>
      </c>
    </row>
    <row r="126" spans="1:5" x14ac:dyDescent="0.2">
      <c r="A126" t="s">
        <v>94</v>
      </c>
      <c r="B126" t="s">
        <v>49</v>
      </c>
      <c r="E126" t="s">
        <v>5</v>
      </c>
    </row>
    <row r="127" spans="1:5" x14ac:dyDescent="0.2">
      <c r="B127" t="s">
        <v>16</v>
      </c>
      <c r="E127" t="s">
        <v>17</v>
      </c>
    </row>
    <row r="128" spans="1:5" x14ac:dyDescent="0.2">
      <c r="B128" t="s">
        <v>24</v>
      </c>
      <c r="E128" t="s">
        <v>25</v>
      </c>
    </row>
    <row r="129" spans="1:5" x14ac:dyDescent="0.2">
      <c r="B129" t="s">
        <v>28</v>
      </c>
      <c r="C129" t="s">
        <v>29</v>
      </c>
      <c r="E129" t="s">
        <v>30</v>
      </c>
    </row>
    <row r="130" spans="1:5" x14ac:dyDescent="0.2">
      <c r="B130" t="s">
        <v>31</v>
      </c>
      <c r="C130" t="s">
        <v>32</v>
      </c>
      <c r="D130" t="s">
        <v>9</v>
      </c>
      <c r="E130" t="s">
        <v>34</v>
      </c>
    </row>
    <row r="131" spans="1:5" x14ac:dyDescent="0.2">
      <c r="B131" t="s">
        <v>46</v>
      </c>
      <c r="C131" t="s">
        <v>47</v>
      </c>
      <c r="D131" t="s">
        <v>44</v>
      </c>
      <c r="E131" t="s">
        <v>48</v>
      </c>
    </row>
    <row r="132" spans="1:5" x14ac:dyDescent="0.2">
      <c r="A132" t="s">
        <v>100</v>
      </c>
      <c r="B132" t="s">
        <v>49</v>
      </c>
      <c r="E132" t="s">
        <v>73</v>
      </c>
    </row>
    <row r="133" spans="1:5" x14ac:dyDescent="0.2">
      <c r="B133" t="s">
        <v>16</v>
      </c>
      <c r="E133" t="s">
        <v>39</v>
      </c>
    </row>
    <row r="134" spans="1:5" x14ac:dyDescent="0.2">
      <c r="B134" t="s">
        <v>24</v>
      </c>
      <c r="E134" t="s">
        <v>25</v>
      </c>
    </row>
    <row r="135" spans="1:5" x14ac:dyDescent="0.2">
      <c r="B135" t="s">
        <v>28</v>
      </c>
      <c r="C135" t="s">
        <v>29</v>
      </c>
      <c r="E135" t="s">
        <v>30</v>
      </c>
    </row>
    <row r="136" spans="1:5" x14ac:dyDescent="0.2">
      <c r="B136" t="s">
        <v>31</v>
      </c>
      <c r="C136" t="s">
        <v>32</v>
      </c>
      <c r="D136" t="s">
        <v>9</v>
      </c>
      <c r="E136" t="s">
        <v>74</v>
      </c>
    </row>
    <row r="137" spans="1:5" x14ac:dyDescent="0.2">
      <c r="B137" t="s">
        <v>46</v>
      </c>
      <c r="C137" t="s">
        <v>47</v>
      </c>
      <c r="D137" t="s">
        <v>44</v>
      </c>
      <c r="E137" t="s">
        <v>48</v>
      </c>
    </row>
    <row r="138" spans="1:5" x14ac:dyDescent="0.2">
      <c r="A138" t="s">
        <v>98</v>
      </c>
      <c r="B138" t="s">
        <v>49</v>
      </c>
      <c r="E138" t="s">
        <v>101</v>
      </c>
    </row>
    <row r="139" spans="1:5" x14ac:dyDescent="0.2">
      <c r="B139" t="s">
        <v>16</v>
      </c>
      <c r="E139" t="s">
        <v>79</v>
      </c>
    </row>
    <row r="140" spans="1:5" x14ac:dyDescent="0.2">
      <c r="B140" t="s">
        <v>24</v>
      </c>
      <c r="E140" t="s">
        <v>25</v>
      </c>
    </row>
    <row r="141" spans="1:5" x14ac:dyDescent="0.2">
      <c r="B141" t="s">
        <v>28</v>
      </c>
      <c r="C141" t="s">
        <v>29</v>
      </c>
      <c r="E141" t="s">
        <v>30</v>
      </c>
    </row>
    <row r="142" spans="1:5" x14ac:dyDescent="0.2">
      <c r="B142" t="s">
        <v>31</v>
      </c>
      <c r="C142" t="s">
        <v>32</v>
      </c>
      <c r="D142" t="s">
        <v>9</v>
      </c>
      <c r="E142" t="s">
        <v>80</v>
      </c>
    </row>
    <row r="143" spans="1:5" x14ac:dyDescent="0.2">
      <c r="B143" t="s">
        <v>46</v>
      </c>
      <c r="C143" t="s">
        <v>47</v>
      </c>
      <c r="D143" t="s">
        <v>44</v>
      </c>
      <c r="E143" t="s">
        <v>48</v>
      </c>
    </row>
    <row r="144" spans="1:5" x14ac:dyDescent="0.2">
      <c r="A144" t="s">
        <v>99</v>
      </c>
      <c r="B144" t="s">
        <v>49</v>
      </c>
      <c r="E144" t="s">
        <v>102</v>
      </c>
    </row>
    <row r="145" spans="1:5" x14ac:dyDescent="0.2">
      <c r="B145" t="s">
        <v>16</v>
      </c>
      <c r="E145" t="s">
        <v>79</v>
      </c>
    </row>
    <row r="146" spans="1:5" x14ac:dyDescent="0.2">
      <c r="B146" t="s">
        <v>24</v>
      </c>
      <c r="E146" t="s">
        <v>25</v>
      </c>
    </row>
    <row r="147" spans="1:5" x14ac:dyDescent="0.2">
      <c r="B147" t="s">
        <v>28</v>
      </c>
      <c r="C147" t="s">
        <v>29</v>
      </c>
      <c r="E147" t="s">
        <v>30</v>
      </c>
    </row>
    <row r="148" spans="1:5" x14ac:dyDescent="0.2">
      <c r="B148" t="s">
        <v>31</v>
      </c>
      <c r="C148" t="s">
        <v>32</v>
      </c>
      <c r="D148" t="s">
        <v>9</v>
      </c>
      <c r="E148" t="s">
        <v>87</v>
      </c>
    </row>
    <row r="149" spans="1:5" x14ac:dyDescent="0.2">
      <c r="B149" t="s">
        <v>46</v>
      </c>
      <c r="C149" t="s">
        <v>47</v>
      </c>
      <c r="D149" t="s">
        <v>44</v>
      </c>
      <c r="E149" t="s">
        <v>48</v>
      </c>
    </row>
    <row r="150" spans="1:5" x14ac:dyDescent="0.2">
      <c r="A150" t="s">
        <v>107</v>
      </c>
      <c r="B150" t="s">
        <v>49</v>
      </c>
      <c r="E150" t="s">
        <v>103</v>
      </c>
    </row>
    <row r="151" spans="1:5" x14ac:dyDescent="0.2">
      <c r="B151" t="s">
        <v>16</v>
      </c>
      <c r="E151" t="s">
        <v>79</v>
      </c>
    </row>
    <row r="152" spans="1:5" x14ac:dyDescent="0.2">
      <c r="B152" t="s">
        <v>24</v>
      </c>
      <c r="E152" t="s">
        <v>25</v>
      </c>
    </row>
    <row r="153" spans="1:5" x14ac:dyDescent="0.2">
      <c r="B153" t="s">
        <v>28</v>
      </c>
      <c r="C153" t="s">
        <v>29</v>
      </c>
      <c r="E153" t="s">
        <v>30</v>
      </c>
    </row>
    <row r="154" spans="1:5" x14ac:dyDescent="0.2">
      <c r="B154" t="s">
        <v>31</v>
      </c>
      <c r="C154" t="s">
        <v>32</v>
      </c>
      <c r="D154" t="s">
        <v>9</v>
      </c>
      <c r="E154" t="s">
        <v>104</v>
      </c>
    </row>
    <row r="155" spans="1:5" x14ac:dyDescent="0.2">
      <c r="B155" t="s">
        <v>46</v>
      </c>
      <c r="C155" t="s">
        <v>47</v>
      </c>
      <c r="D155" t="s">
        <v>44</v>
      </c>
      <c r="E155" t="s">
        <v>48</v>
      </c>
    </row>
    <row r="156" spans="1:5" x14ac:dyDescent="0.2">
      <c r="A156" t="s">
        <v>105</v>
      </c>
      <c r="B156" t="s">
        <v>49</v>
      </c>
      <c r="E156" t="s">
        <v>106</v>
      </c>
    </row>
    <row r="157" spans="1:5" x14ac:dyDescent="0.2">
      <c r="B157" t="s">
        <v>16</v>
      </c>
      <c r="E157" t="s">
        <v>79</v>
      </c>
    </row>
    <row r="158" spans="1:5" x14ac:dyDescent="0.2">
      <c r="B158" t="s">
        <v>24</v>
      </c>
      <c r="E158" t="s">
        <v>25</v>
      </c>
    </row>
    <row r="159" spans="1:5" x14ac:dyDescent="0.2">
      <c r="B159" t="s">
        <v>28</v>
      </c>
      <c r="C159" t="s">
        <v>29</v>
      </c>
      <c r="E159" t="s">
        <v>30</v>
      </c>
    </row>
    <row r="160" spans="1:5" x14ac:dyDescent="0.2">
      <c r="B160" t="s">
        <v>31</v>
      </c>
      <c r="C160" t="s">
        <v>32</v>
      </c>
      <c r="D160" t="s">
        <v>9</v>
      </c>
      <c r="E160" t="s">
        <v>104</v>
      </c>
    </row>
    <row r="161" spans="1:5" x14ac:dyDescent="0.2">
      <c r="B161" t="s">
        <v>46</v>
      </c>
      <c r="C161" t="s">
        <v>47</v>
      </c>
      <c r="D161" t="s">
        <v>44</v>
      </c>
      <c r="E161" t="s">
        <v>48</v>
      </c>
    </row>
    <row r="162" spans="1:5" x14ac:dyDescent="0.2">
      <c r="B162" t="s">
        <v>66</v>
      </c>
      <c r="C162" t="s">
        <v>67</v>
      </c>
      <c r="D162" t="s">
        <v>68</v>
      </c>
      <c r="E162" t="s">
        <v>69</v>
      </c>
    </row>
    <row r="163" spans="1:5" x14ac:dyDescent="0.2">
      <c r="A163" t="s">
        <v>108</v>
      </c>
      <c r="B163" t="s">
        <v>49</v>
      </c>
      <c r="E163" t="s">
        <v>108</v>
      </c>
    </row>
    <row r="164" spans="1:5" x14ac:dyDescent="0.2">
      <c r="B164" t="s">
        <v>16</v>
      </c>
      <c r="E164" t="s">
        <v>79</v>
      </c>
    </row>
    <row r="165" spans="1:5" x14ac:dyDescent="0.2">
      <c r="B165" t="s">
        <v>24</v>
      </c>
      <c r="E165" t="s">
        <v>25</v>
      </c>
    </row>
    <row r="166" spans="1:5" x14ac:dyDescent="0.2">
      <c r="B166" t="s">
        <v>28</v>
      </c>
      <c r="C166" t="s">
        <v>29</v>
      </c>
      <c r="E166" t="s">
        <v>34</v>
      </c>
    </row>
    <row r="167" spans="1:5" x14ac:dyDescent="0.2">
      <c r="B167" t="s">
        <v>31</v>
      </c>
      <c r="C167" t="s">
        <v>32</v>
      </c>
      <c r="D167" t="s">
        <v>9</v>
      </c>
      <c r="E167" t="s">
        <v>104</v>
      </c>
    </row>
    <row r="168" spans="1:5" x14ac:dyDescent="0.2">
      <c r="A168" t="s">
        <v>110</v>
      </c>
      <c r="B168" t="s">
        <v>49</v>
      </c>
      <c r="E168" t="s">
        <v>103</v>
      </c>
    </row>
    <row r="169" spans="1:5" x14ac:dyDescent="0.2">
      <c r="B169" t="s">
        <v>16</v>
      </c>
      <c r="E169" t="s">
        <v>79</v>
      </c>
    </row>
    <row r="170" spans="1:5" x14ac:dyDescent="0.2">
      <c r="B170" t="s">
        <v>24</v>
      </c>
      <c r="E170" t="s">
        <v>25</v>
      </c>
    </row>
    <row r="171" spans="1:5" x14ac:dyDescent="0.2">
      <c r="B171" t="s">
        <v>28</v>
      </c>
      <c r="C171" t="s">
        <v>29</v>
      </c>
      <c r="E171" t="s">
        <v>30</v>
      </c>
    </row>
    <row r="172" spans="1:5" x14ac:dyDescent="0.2">
      <c r="B172" t="s">
        <v>31</v>
      </c>
      <c r="C172" t="s">
        <v>32</v>
      </c>
      <c r="D172" t="s">
        <v>9</v>
      </c>
      <c r="E172" t="s">
        <v>104</v>
      </c>
    </row>
    <row r="173" spans="1:5" x14ac:dyDescent="0.2">
      <c r="B173" t="s">
        <v>46</v>
      </c>
      <c r="C173" t="s">
        <v>47</v>
      </c>
      <c r="D173" t="s">
        <v>44</v>
      </c>
      <c r="E173" t="s">
        <v>48</v>
      </c>
    </row>
    <row r="174" spans="1:5" x14ac:dyDescent="0.2">
      <c r="A174" t="s">
        <v>111</v>
      </c>
      <c r="B174" t="s">
        <v>49</v>
      </c>
      <c r="E174" t="s">
        <v>106</v>
      </c>
    </row>
    <row r="175" spans="1:5" x14ac:dyDescent="0.2">
      <c r="B175" t="s">
        <v>16</v>
      </c>
      <c r="E175" t="s">
        <v>79</v>
      </c>
    </row>
    <row r="176" spans="1:5" x14ac:dyDescent="0.2">
      <c r="B176" t="s">
        <v>24</v>
      </c>
      <c r="E176" t="s">
        <v>25</v>
      </c>
    </row>
    <row r="177" spans="1:5" x14ac:dyDescent="0.2">
      <c r="B177" t="s">
        <v>28</v>
      </c>
      <c r="C177" t="s">
        <v>29</v>
      </c>
      <c r="E177" t="s">
        <v>30</v>
      </c>
    </row>
    <row r="178" spans="1:5" x14ac:dyDescent="0.2">
      <c r="B178" t="s">
        <v>31</v>
      </c>
      <c r="C178" t="s">
        <v>32</v>
      </c>
      <c r="D178" t="s">
        <v>9</v>
      </c>
      <c r="E178" t="s">
        <v>104</v>
      </c>
    </row>
    <row r="179" spans="1:5" x14ac:dyDescent="0.2">
      <c r="B179" t="s">
        <v>46</v>
      </c>
      <c r="C179" t="s">
        <v>47</v>
      </c>
      <c r="D179" t="s">
        <v>44</v>
      </c>
      <c r="E179" t="s">
        <v>48</v>
      </c>
    </row>
    <row r="180" spans="1:5" x14ac:dyDescent="0.2">
      <c r="B180" t="s">
        <v>66</v>
      </c>
      <c r="C180" t="s">
        <v>67</v>
      </c>
      <c r="D180" t="s">
        <v>68</v>
      </c>
      <c r="E180" t="s">
        <v>69</v>
      </c>
    </row>
    <row r="181" spans="1:5" x14ac:dyDescent="0.2">
      <c r="A181" t="s">
        <v>109</v>
      </c>
      <c r="B181" t="s">
        <v>49</v>
      </c>
      <c r="E181" t="s">
        <v>108</v>
      </c>
    </row>
    <row r="182" spans="1:5" x14ac:dyDescent="0.2">
      <c r="B182" t="s">
        <v>16</v>
      </c>
      <c r="E182" t="s">
        <v>79</v>
      </c>
    </row>
    <row r="183" spans="1:5" x14ac:dyDescent="0.2">
      <c r="B183" t="s">
        <v>24</v>
      </c>
      <c r="E183" t="s">
        <v>25</v>
      </c>
    </row>
    <row r="184" spans="1:5" x14ac:dyDescent="0.2">
      <c r="B184" t="s">
        <v>28</v>
      </c>
      <c r="C184" t="s">
        <v>29</v>
      </c>
      <c r="E184" t="s">
        <v>34</v>
      </c>
    </row>
    <row r="185" spans="1:5" x14ac:dyDescent="0.2">
      <c r="B185" t="s">
        <v>31</v>
      </c>
      <c r="C185" t="s">
        <v>32</v>
      </c>
      <c r="D185" t="s">
        <v>9</v>
      </c>
      <c r="E185" t="s">
        <v>104</v>
      </c>
    </row>
    <row r="186" spans="1:5" x14ac:dyDescent="0.2">
      <c r="A186" t="s">
        <v>113</v>
      </c>
      <c r="B186" t="s">
        <v>49</v>
      </c>
      <c r="E186" t="s">
        <v>113</v>
      </c>
    </row>
    <row r="187" spans="1:5" x14ac:dyDescent="0.2">
      <c r="B187" t="s">
        <v>16</v>
      </c>
      <c r="E187" t="s">
        <v>79</v>
      </c>
    </row>
    <row r="188" spans="1:5" x14ac:dyDescent="0.2">
      <c r="B188" t="s">
        <v>24</v>
      </c>
      <c r="E188" t="s">
        <v>25</v>
      </c>
    </row>
    <row r="189" spans="1:5" x14ac:dyDescent="0.2">
      <c r="B189" t="s">
        <v>28</v>
      </c>
      <c r="C189" t="s">
        <v>29</v>
      </c>
      <c r="E189" t="s">
        <v>34</v>
      </c>
    </row>
    <row r="190" spans="1:5" x14ac:dyDescent="0.2">
      <c r="B190" t="s">
        <v>31</v>
      </c>
      <c r="C190" t="s">
        <v>32</v>
      </c>
      <c r="D190" t="s">
        <v>9</v>
      </c>
      <c r="E190" t="s">
        <v>114</v>
      </c>
    </row>
    <row r="191" spans="1:5" x14ac:dyDescent="0.2">
      <c r="B191" t="s">
        <v>46</v>
      </c>
      <c r="C191" t="s">
        <v>47</v>
      </c>
      <c r="D191" t="s">
        <v>44</v>
      </c>
      <c r="E191" t="s">
        <v>48</v>
      </c>
    </row>
    <row r="192" spans="1:5" x14ac:dyDescent="0.2">
      <c r="A192" t="s">
        <v>112</v>
      </c>
      <c r="B192" t="s">
        <v>49</v>
      </c>
      <c r="E192" t="s">
        <v>112</v>
      </c>
    </row>
    <row r="193" spans="1:5" x14ac:dyDescent="0.2">
      <c r="B193" t="s">
        <v>16</v>
      </c>
      <c r="E193" t="s">
        <v>79</v>
      </c>
    </row>
    <row r="194" spans="1:5" x14ac:dyDescent="0.2">
      <c r="B194" t="s">
        <v>24</v>
      </c>
      <c r="E194" t="s">
        <v>25</v>
      </c>
    </row>
    <row r="195" spans="1:5" x14ac:dyDescent="0.2">
      <c r="B195" t="s">
        <v>28</v>
      </c>
      <c r="C195" t="s">
        <v>29</v>
      </c>
      <c r="E195" t="s">
        <v>34</v>
      </c>
    </row>
    <row r="196" spans="1:5" x14ac:dyDescent="0.2">
      <c r="B196" t="s">
        <v>31</v>
      </c>
      <c r="C196" t="s">
        <v>32</v>
      </c>
      <c r="D196" t="s">
        <v>9</v>
      </c>
      <c r="E196" t="s">
        <v>114</v>
      </c>
    </row>
    <row r="197" spans="1:5" x14ac:dyDescent="0.2">
      <c r="B197" t="s">
        <v>46</v>
      </c>
      <c r="C197" t="s">
        <v>47</v>
      </c>
      <c r="D197" t="s">
        <v>44</v>
      </c>
      <c r="E197" t="s">
        <v>48</v>
      </c>
    </row>
    <row r="198" spans="1:5" x14ac:dyDescent="0.2">
      <c r="A198" t="s">
        <v>115</v>
      </c>
      <c r="B198" t="s">
        <v>49</v>
      </c>
      <c r="E198" t="s">
        <v>113</v>
      </c>
    </row>
    <row r="199" spans="1:5" x14ac:dyDescent="0.2">
      <c r="B199" t="s">
        <v>16</v>
      </c>
      <c r="E199" t="s">
        <v>79</v>
      </c>
    </row>
    <row r="200" spans="1:5" x14ac:dyDescent="0.2">
      <c r="B200" t="s">
        <v>24</v>
      </c>
      <c r="E200" t="s">
        <v>25</v>
      </c>
    </row>
    <row r="201" spans="1:5" x14ac:dyDescent="0.2">
      <c r="B201" t="s">
        <v>28</v>
      </c>
      <c r="C201" t="s">
        <v>29</v>
      </c>
      <c r="E201" t="s">
        <v>34</v>
      </c>
    </row>
    <row r="202" spans="1:5" x14ac:dyDescent="0.2">
      <c r="B202" t="s">
        <v>31</v>
      </c>
      <c r="C202" t="s">
        <v>32</v>
      </c>
      <c r="D202" t="s">
        <v>9</v>
      </c>
      <c r="E202" t="s">
        <v>114</v>
      </c>
    </row>
    <row r="203" spans="1:5" x14ac:dyDescent="0.2">
      <c r="B203" t="s">
        <v>46</v>
      </c>
      <c r="C203" t="s">
        <v>47</v>
      </c>
      <c r="D203" t="s">
        <v>44</v>
      </c>
      <c r="E203" t="s">
        <v>48</v>
      </c>
    </row>
    <row r="204" spans="1:5" x14ac:dyDescent="0.2">
      <c r="A204" t="s">
        <v>116</v>
      </c>
      <c r="B204" t="s">
        <v>49</v>
      </c>
      <c r="E204" t="s">
        <v>112</v>
      </c>
    </row>
    <row r="205" spans="1:5" x14ac:dyDescent="0.2">
      <c r="B205" t="s">
        <v>16</v>
      </c>
      <c r="E205" t="s">
        <v>79</v>
      </c>
    </row>
    <row r="206" spans="1:5" x14ac:dyDescent="0.2">
      <c r="B206" t="s">
        <v>24</v>
      </c>
      <c r="E206" t="s">
        <v>25</v>
      </c>
    </row>
    <row r="207" spans="1:5" x14ac:dyDescent="0.2">
      <c r="B207" t="s">
        <v>28</v>
      </c>
      <c r="C207" t="s">
        <v>29</v>
      </c>
      <c r="E207" t="s">
        <v>34</v>
      </c>
    </row>
    <row r="208" spans="1:5" x14ac:dyDescent="0.2">
      <c r="B208" t="s">
        <v>31</v>
      </c>
      <c r="C208" t="s">
        <v>32</v>
      </c>
      <c r="D208" t="s">
        <v>9</v>
      </c>
      <c r="E208" t="s">
        <v>114</v>
      </c>
    </row>
    <row r="209" spans="2:5" x14ac:dyDescent="0.2">
      <c r="B209" t="s">
        <v>46</v>
      </c>
      <c r="C209" t="s">
        <v>47</v>
      </c>
      <c r="D209" t="s">
        <v>44</v>
      </c>
      <c r="E209" t="s">
        <v>48</v>
      </c>
    </row>
  </sheetData>
  <autoFilter ref="A1:F39" xr:uid="{B2AEF3F7-9EA9-4235-9872-78FDC34EDD3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"/>
  <sheetViews>
    <sheetView zoomScale="113" zoomScaleNormal="85" workbookViewId="0">
      <pane ySplit="1" topLeftCell="A245" activePane="bottomLeft" state="frozen"/>
      <selection pane="bottomLeft" activeCell="G203" sqref="G203"/>
    </sheetView>
  </sheetViews>
  <sheetFormatPr baseColWidth="10" defaultColWidth="8.83203125" defaultRowHeight="15" x14ac:dyDescent="0.2"/>
  <cols>
    <col min="1" max="1" width="34.83203125" bestFit="1" customWidth="1"/>
    <col min="2" max="2" width="13.33203125" bestFit="1" customWidth="1"/>
    <col min="3" max="3" width="13.83203125" bestFit="1" customWidth="1"/>
    <col min="4" max="4" width="27.6640625" customWidth="1"/>
    <col min="5" max="5" width="10.33203125" bestFit="1" customWidth="1"/>
    <col min="6" max="6" width="8.5" bestFit="1" customWidth="1"/>
    <col min="7" max="7" width="8.5" customWidth="1"/>
    <col min="8" max="9" width="6" bestFit="1" customWidth="1"/>
    <col min="10" max="10" width="8" bestFit="1" customWidth="1"/>
    <col min="11" max="11" width="10" bestFit="1" customWidth="1"/>
    <col min="12" max="12" width="8.83203125" bestFit="1" customWidth="1"/>
    <col min="13" max="13" width="6.5" bestFit="1" customWidth="1"/>
    <col min="14" max="14" width="4.5" bestFit="1" customWidth="1"/>
    <col min="15" max="15" width="9.5" bestFit="1" customWidth="1"/>
    <col min="16" max="21" width="14" bestFit="1" customWidth="1"/>
    <col min="22" max="27" width="11.83203125" bestFit="1" customWidth="1"/>
    <col min="28" max="33" width="12.83203125" bestFit="1" customWidth="1"/>
    <col min="34" max="39" width="9" bestFit="1" customWidth="1"/>
    <col min="40" max="40" width="4" bestFit="1" customWidth="1"/>
    <col min="41" max="42" width="11.5" bestFit="1" customWidth="1"/>
    <col min="43" max="43" width="11" bestFit="1" customWidth="1"/>
    <col min="44" max="44" width="11.1640625" bestFit="1" customWidth="1"/>
    <col min="45" max="45" width="12.33203125" bestFit="1" customWidth="1"/>
    <col min="46" max="46" width="12.5" bestFit="1" customWidth="1"/>
    <col min="47" max="47" width="9.6640625" bestFit="1" customWidth="1"/>
    <col min="48" max="48" width="9.83203125" bestFit="1" customWidth="1"/>
    <col min="49" max="49" width="8.83203125" bestFit="1" customWidth="1"/>
    <col min="50" max="50" width="9" bestFit="1" customWidth="1"/>
    <col min="51" max="52" width="8.5" bestFit="1" customWidth="1"/>
    <col min="54" max="54" width="13.33203125" bestFit="1" customWidth="1"/>
    <col min="55" max="55" width="10.8320312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>
        <v>2020</v>
      </c>
      <c r="E1" s="3">
        <v>2030</v>
      </c>
      <c r="F1" s="3">
        <v>2040</v>
      </c>
      <c r="G1" s="3">
        <v>2050</v>
      </c>
    </row>
    <row r="2" spans="1:7" x14ac:dyDescent="0.2">
      <c r="A2" s="3" t="s">
        <v>3</v>
      </c>
      <c r="B2" s="3" t="s">
        <v>6</v>
      </c>
      <c r="C2" s="3" t="s">
        <v>21</v>
      </c>
      <c r="D2" s="3">
        <v>950</v>
      </c>
      <c r="E2" s="4"/>
      <c r="F2" s="4"/>
      <c r="G2" s="4"/>
    </row>
    <row r="3" spans="1:7" x14ac:dyDescent="0.2">
      <c r="A3" s="4"/>
      <c r="B3" s="3" t="s">
        <v>7</v>
      </c>
      <c r="C3" s="3" t="s">
        <v>21</v>
      </c>
      <c r="D3" s="3">
        <v>47.5</v>
      </c>
      <c r="E3" s="4"/>
      <c r="F3" s="4"/>
      <c r="G3" s="4"/>
    </row>
    <row r="4" spans="1:7" x14ac:dyDescent="0.2">
      <c r="A4" s="4"/>
      <c r="B4" s="3" t="s">
        <v>8</v>
      </c>
      <c r="C4" s="3" t="s">
        <v>22</v>
      </c>
      <c r="D4" s="3">
        <v>0.2</v>
      </c>
      <c r="E4" s="4"/>
      <c r="F4" s="4"/>
      <c r="G4" s="4"/>
    </row>
    <row r="5" spans="1:7" x14ac:dyDescent="0.2">
      <c r="A5" s="4"/>
      <c r="B5" s="3" t="s">
        <v>9</v>
      </c>
      <c r="C5" s="4"/>
      <c r="D5" s="3">
        <v>0.6</v>
      </c>
      <c r="E5" s="4"/>
      <c r="F5" s="4"/>
      <c r="G5" s="4"/>
    </row>
    <row r="6" spans="1:7" x14ac:dyDescent="0.2">
      <c r="A6" s="4"/>
      <c r="B6" s="3" t="s">
        <v>10</v>
      </c>
      <c r="C6" s="3" t="s">
        <v>11</v>
      </c>
      <c r="D6" s="3">
        <v>30</v>
      </c>
      <c r="E6" s="4"/>
      <c r="F6" s="4"/>
      <c r="G6" s="4"/>
    </row>
    <row r="7" spans="1:7" x14ac:dyDescent="0.2">
      <c r="A7" s="4"/>
      <c r="B7" s="3" t="s">
        <v>44</v>
      </c>
      <c r="C7" s="3" t="s">
        <v>45</v>
      </c>
      <c r="D7" s="3">
        <v>0.2</v>
      </c>
      <c r="E7" s="4"/>
      <c r="F7" s="4"/>
      <c r="G7" s="4"/>
    </row>
    <row r="8" spans="1:7" x14ac:dyDescent="0.2">
      <c r="A8" s="3" t="s">
        <v>59</v>
      </c>
      <c r="B8" s="3" t="s">
        <v>6</v>
      </c>
      <c r="C8" s="3" t="s">
        <v>21</v>
      </c>
      <c r="D8" s="3">
        <v>2500</v>
      </c>
      <c r="E8" s="4"/>
      <c r="F8" s="4"/>
      <c r="G8" s="4"/>
    </row>
    <row r="9" spans="1:7" x14ac:dyDescent="0.2">
      <c r="A9" s="4"/>
      <c r="B9" s="3" t="s">
        <v>7</v>
      </c>
      <c r="C9" s="3" t="s">
        <v>21</v>
      </c>
      <c r="D9" s="3">
        <v>125</v>
      </c>
      <c r="E9" s="4"/>
      <c r="F9" s="4"/>
      <c r="G9" s="4"/>
    </row>
    <row r="10" spans="1:7" x14ac:dyDescent="0.2">
      <c r="A10" s="4"/>
      <c r="B10" s="3" t="s">
        <v>8</v>
      </c>
      <c r="C10" s="3" t="s">
        <v>22</v>
      </c>
      <c r="D10" s="3">
        <v>0.2</v>
      </c>
      <c r="E10" s="4"/>
      <c r="F10" s="4"/>
      <c r="G10" s="4"/>
    </row>
    <row r="11" spans="1:7" x14ac:dyDescent="0.2">
      <c r="A11" s="4"/>
      <c r="B11" s="3" t="s">
        <v>9</v>
      </c>
      <c r="C11" s="4"/>
      <c r="D11" s="3">
        <v>0.35</v>
      </c>
      <c r="E11" s="4"/>
      <c r="F11" s="4"/>
      <c r="G11" s="4"/>
    </row>
    <row r="12" spans="1:7" x14ac:dyDescent="0.2">
      <c r="A12" s="4"/>
      <c r="B12" s="3" t="s">
        <v>10</v>
      </c>
      <c r="C12" s="3" t="s">
        <v>11</v>
      </c>
      <c r="D12" s="3">
        <v>30</v>
      </c>
      <c r="E12" s="4"/>
      <c r="F12" s="4"/>
      <c r="G12" s="4"/>
    </row>
    <row r="13" spans="1:7" x14ac:dyDescent="0.2">
      <c r="A13" s="3" t="s">
        <v>61</v>
      </c>
      <c r="B13" s="3" t="s">
        <v>6</v>
      </c>
      <c r="C13" s="3" t="s">
        <v>21</v>
      </c>
      <c r="D13" s="3">
        <v>6000</v>
      </c>
      <c r="E13" s="4"/>
      <c r="F13" s="4"/>
      <c r="G13" s="3">
        <v>4800</v>
      </c>
    </row>
    <row r="14" spans="1:7" x14ac:dyDescent="0.2">
      <c r="A14" s="4"/>
      <c r="B14" s="3" t="s">
        <v>7</v>
      </c>
      <c r="C14" s="3" t="s">
        <v>21</v>
      </c>
      <c r="D14" s="3">
        <v>300</v>
      </c>
      <c r="E14" s="4"/>
      <c r="F14" s="4"/>
      <c r="G14" s="3">
        <v>240</v>
      </c>
    </row>
    <row r="15" spans="1:7" x14ac:dyDescent="0.2">
      <c r="A15" s="4"/>
      <c r="B15" s="3" t="s">
        <v>8</v>
      </c>
      <c r="C15" s="3" t="s">
        <v>22</v>
      </c>
      <c r="D15" s="3">
        <v>0.5</v>
      </c>
      <c r="E15" s="4"/>
      <c r="F15" s="4"/>
      <c r="G15" s="3">
        <v>0.4</v>
      </c>
    </row>
    <row r="16" spans="1:7" x14ac:dyDescent="0.2">
      <c r="A16" s="4"/>
      <c r="B16" s="3" t="s">
        <v>9</v>
      </c>
      <c r="C16" s="4"/>
      <c r="D16" s="3">
        <v>0.4</v>
      </c>
      <c r="E16" s="4"/>
      <c r="F16" s="4"/>
      <c r="G16" s="3">
        <v>0.4</v>
      </c>
    </row>
    <row r="17" spans="1:7" x14ac:dyDescent="0.2">
      <c r="A17" s="4"/>
      <c r="B17" s="3" t="s">
        <v>10</v>
      </c>
      <c r="C17" s="3" t="s">
        <v>11</v>
      </c>
      <c r="D17" s="3">
        <v>40</v>
      </c>
      <c r="E17" s="4"/>
      <c r="F17" s="4"/>
      <c r="G17" s="4"/>
    </row>
    <row r="18" spans="1:7" x14ac:dyDescent="0.2">
      <c r="A18" s="3" t="s">
        <v>43</v>
      </c>
      <c r="B18" s="3" t="s">
        <v>6</v>
      </c>
      <c r="C18" s="3" t="s">
        <v>21</v>
      </c>
      <c r="D18" s="3">
        <v>1000</v>
      </c>
      <c r="E18" s="3">
        <v>760</v>
      </c>
      <c r="F18" s="4"/>
      <c r="G18" s="3">
        <v>350</v>
      </c>
    </row>
    <row r="19" spans="1:7" x14ac:dyDescent="0.2">
      <c r="A19" s="4"/>
      <c r="B19" s="3" t="s">
        <v>7</v>
      </c>
      <c r="C19" s="3" t="s">
        <v>21</v>
      </c>
      <c r="D19" s="3">
        <v>10</v>
      </c>
      <c r="E19" s="3">
        <v>8</v>
      </c>
      <c r="F19" s="4"/>
      <c r="G19" s="3">
        <v>3</v>
      </c>
    </row>
    <row r="20" spans="1:7" x14ac:dyDescent="0.2">
      <c r="A20" s="4"/>
      <c r="B20" s="3" t="s">
        <v>8</v>
      </c>
      <c r="C20" s="3" t="s">
        <v>22</v>
      </c>
      <c r="D20" s="3">
        <v>0.05</v>
      </c>
      <c r="E20" s="3">
        <v>0.05</v>
      </c>
      <c r="F20" s="4"/>
      <c r="G20" s="3">
        <v>0.05</v>
      </c>
    </row>
    <row r="21" spans="1:7" x14ac:dyDescent="0.2">
      <c r="A21" s="4"/>
      <c r="B21" s="3" t="s">
        <v>9</v>
      </c>
      <c r="C21" s="4"/>
      <c r="D21" s="3">
        <v>1</v>
      </c>
      <c r="E21" s="3">
        <v>1</v>
      </c>
      <c r="F21" s="4"/>
      <c r="G21" s="3">
        <v>1</v>
      </c>
    </row>
    <row r="22" spans="1:7" x14ac:dyDescent="0.2">
      <c r="A22" s="4"/>
      <c r="B22" s="3" t="s">
        <v>10</v>
      </c>
      <c r="C22" s="3" t="s">
        <v>11</v>
      </c>
      <c r="D22" s="3">
        <v>25</v>
      </c>
      <c r="E22" s="3">
        <v>25</v>
      </c>
      <c r="F22" s="4"/>
      <c r="G22" s="3">
        <v>25</v>
      </c>
    </row>
    <row r="23" spans="1:7" x14ac:dyDescent="0.2">
      <c r="A23" s="3" t="s">
        <v>53</v>
      </c>
      <c r="B23" s="3" t="s">
        <v>6</v>
      </c>
      <c r="C23" s="3" t="s">
        <v>21</v>
      </c>
      <c r="D23" s="3">
        <v>1500</v>
      </c>
      <c r="E23" s="3">
        <v>1300</v>
      </c>
      <c r="F23" s="4"/>
      <c r="G23" s="3">
        <v>1000</v>
      </c>
    </row>
    <row r="24" spans="1:7" x14ac:dyDescent="0.2">
      <c r="A24" s="4"/>
      <c r="B24" s="3" t="s">
        <v>7</v>
      </c>
      <c r="C24" s="3" t="s">
        <v>21</v>
      </c>
      <c r="D24" s="3">
        <v>30</v>
      </c>
      <c r="E24" s="3">
        <v>25</v>
      </c>
      <c r="F24" s="4"/>
      <c r="G24" s="3">
        <v>20</v>
      </c>
    </row>
    <row r="25" spans="1:7" x14ac:dyDescent="0.2">
      <c r="A25" s="4"/>
      <c r="B25" s="3" t="s">
        <v>8</v>
      </c>
      <c r="C25" s="3" t="s">
        <v>22</v>
      </c>
      <c r="D25" s="3">
        <v>0.1</v>
      </c>
      <c r="E25" s="3">
        <v>0.1</v>
      </c>
      <c r="F25" s="4"/>
      <c r="G25" s="3">
        <v>0.1</v>
      </c>
    </row>
    <row r="26" spans="1:7" x14ac:dyDescent="0.2">
      <c r="A26" s="4"/>
      <c r="B26" s="3" t="s">
        <v>9</v>
      </c>
      <c r="C26" s="4"/>
      <c r="D26" s="3">
        <v>1</v>
      </c>
      <c r="E26" s="3">
        <v>1</v>
      </c>
      <c r="F26" s="4"/>
      <c r="G26" s="3">
        <v>1</v>
      </c>
    </row>
    <row r="27" spans="1:7" x14ac:dyDescent="0.2">
      <c r="A27" s="4"/>
      <c r="B27" s="3" t="s">
        <v>10</v>
      </c>
      <c r="C27" s="3" t="s">
        <v>11</v>
      </c>
      <c r="D27" s="3">
        <v>25</v>
      </c>
      <c r="E27" s="3">
        <v>25</v>
      </c>
      <c r="F27" s="4"/>
      <c r="G27" s="3">
        <v>25</v>
      </c>
    </row>
    <row r="28" spans="1:7" x14ac:dyDescent="0.2">
      <c r="A28" s="3" t="s">
        <v>54</v>
      </c>
      <c r="B28" s="3" t="s">
        <v>6</v>
      </c>
      <c r="C28" s="3" t="s">
        <v>21</v>
      </c>
      <c r="D28" s="3">
        <v>2500</v>
      </c>
      <c r="E28" s="3">
        <v>2000</v>
      </c>
      <c r="F28" s="4"/>
      <c r="G28" s="3">
        <v>1300</v>
      </c>
    </row>
    <row r="29" spans="1:7" x14ac:dyDescent="0.2">
      <c r="A29" s="4"/>
      <c r="B29" s="3" t="s">
        <v>7</v>
      </c>
      <c r="C29" s="3" t="s">
        <v>21</v>
      </c>
      <c r="D29" s="3">
        <v>125</v>
      </c>
      <c r="E29" s="3">
        <v>100</v>
      </c>
      <c r="F29" s="4"/>
      <c r="G29" s="3">
        <v>65</v>
      </c>
    </row>
    <row r="30" spans="1:7" x14ac:dyDescent="0.2">
      <c r="A30" s="4"/>
      <c r="B30" s="3" t="s">
        <v>8</v>
      </c>
      <c r="C30" s="3" t="s">
        <v>22</v>
      </c>
      <c r="D30" s="3">
        <v>0.1</v>
      </c>
      <c r="E30" s="3">
        <v>0.1</v>
      </c>
      <c r="F30" s="4"/>
      <c r="G30" s="3">
        <v>0.1</v>
      </c>
    </row>
    <row r="31" spans="1:7" x14ac:dyDescent="0.2">
      <c r="A31" s="4"/>
      <c r="B31" s="3" t="s">
        <v>9</v>
      </c>
      <c r="C31" s="4"/>
      <c r="D31" s="3">
        <v>1.2</v>
      </c>
      <c r="E31" s="3">
        <v>1.2</v>
      </c>
      <c r="F31" s="4"/>
      <c r="G31" s="3">
        <v>1.2</v>
      </c>
    </row>
    <row r="32" spans="1:7" x14ac:dyDescent="0.2">
      <c r="A32" s="4"/>
      <c r="B32" s="3" t="s">
        <v>10</v>
      </c>
      <c r="C32" s="3" t="s">
        <v>11</v>
      </c>
      <c r="D32" s="3">
        <v>25</v>
      </c>
      <c r="E32" s="3">
        <v>25</v>
      </c>
      <c r="F32" s="4"/>
      <c r="G32" s="3">
        <v>25</v>
      </c>
    </row>
    <row r="33" spans="1:7" x14ac:dyDescent="0.2">
      <c r="A33" s="3" t="s">
        <v>14</v>
      </c>
      <c r="B33" s="3" t="s">
        <v>6</v>
      </c>
      <c r="C33" s="3" t="s">
        <v>21</v>
      </c>
      <c r="D33" s="3">
        <v>700</v>
      </c>
      <c r="E33" s="3">
        <v>350</v>
      </c>
      <c r="F33" s="4"/>
      <c r="G33" s="3">
        <v>200</v>
      </c>
    </row>
    <row r="34" spans="1:7" x14ac:dyDescent="0.2">
      <c r="A34" s="4"/>
      <c r="B34" s="3" t="s">
        <v>7</v>
      </c>
      <c r="C34" s="3" t="s">
        <v>21</v>
      </c>
      <c r="D34" s="3">
        <v>0</v>
      </c>
      <c r="E34" s="3">
        <v>0</v>
      </c>
      <c r="F34" s="4"/>
      <c r="G34" s="3">
        <v>0</v>
      </c>
    </row>
    <row r="35" spans="1:7" x14ac:dyDescent="0.2">
      <c r="A35" s="4"/>
      <c r="B35" s="3" t="s">
        <v>8</v>
      </c>
      <c r="C35" s="3" t="s">
        <v>22</v>
      </c>
      <c r="D35" s="3">
        <v>0</v>
      </c>
      <c r="E35" s="3">
        <v>0</v>
      </c>
      <c r="F35" s="4"/>
      <c r="G35" s="3">
        <v>0</v>
      </c>
    </row>
    <row r="36" spans="1:7" x14ac:dyDescent="0.2">
      <c r="A36" s="4"/>
      <c r="B36" s="3" t="s">
        <v>9</v>
      </c>
      <c r="C36" s="4"/>
      <c r="D36" s="3">
        <v>0.95</v>
      </c>
      <c r="E36" s="3">
        <v>0.95</v>
      </c>
      <c r="F36" s="4"/>
      <c r="G36" s="3">
        <v>0.95</v>
      </c>
    </row>
    <row r="37" spans="1:7" x14ac:dyDescent="0.2">
      <c r="A37" s="4"/>
      <c r="B37" s="3" t="s">
        <v>10</v>
      </c>
      <c r="C37" s="3" t="s">
        <v>11</v>
      </c>
      <c r="D37" s="3">
        <v>25</v>
      </c>
      <c r="E37" s="3">
        <v>25</v>
      </c>
      <c r="F37" s="4"/>
      <c r="G37" s="3">
        <v>25</v>
      </c>
    </row>
    <row r="38" spans="1:7" x14ac:dyDescent="0.2">
      <c r="A38" s="3" t="s">
        <v>18</v>
      </c>
      <c r="B38" s="3" t="s">
        <v>6</v>
      </c>
      <c r="C38" s="3" t="s">
        <v>23</v>
      </c>
      <c r="D38" s="3">
        <v>35000</v>
      </c>
      <c r="E38" s="3">
        <v>28000</v>
      </c>
      <c r="F38" s="3">
        <v>22400</v>
      </c>
      <c r="G38" s="3">
        <v>17920</v>
      </c>
    </row>
    <row r="39" spans="1:7" x14ac:dyDescent="0.2">
      <c r="A39" s="4"/>
      <c r="B39" s="3" t="s">
        <v>7</v>
      </c>
      <c r="C39" s="3" t="s">
        <v>23</v>
      </c>
      <c r="D39" s="3">
        <v>0</v>
      </c>
      <c r="E39" s="3">
        <v>0</v>
      </c>
      <c r="F39" s="3">
        <v>0</v>
      </c>
      <c r="G39" s="3">
        <v>0</v>
      </c>
    </row>
    <row r="40" spans="1:7" x14ac:dyDescent="0.2">
      <c r="A40" s="4"/>
      <c r="B40" s="3" t="s">
        <v>8</v>
      </c>
      <c r="C40" s="3" t="s">
        <v>22</v>
      </c>
      <c r="D40" s="3">
        <v>0</v>
      </c>
      <c r="E40" s="3">
        <v>0</v>
      </c>
      <c r="F40" s="3">
        <v>0</v>
      </c>
      <c r="G40" s="3">
        <v>0</v>
      </c>
    </row>
    <row r="41" spans="1:7" x14ac:dyDescent="0.2">
      <c r="A41" s="4"/>
      <c r="B41" s="3" t="s">
        <v>9</v>
      </c>
      <c r="C41" s="3" t="s">
        <v>20</v>
      </c>
      <c r="D41" s="3">
        <v>3.6</v>
      </c>
      <c r="E41" s="3">
        <v>5.6</v>
      </c>
      <c r="F41" s="3">
        <v>6.12</v>
      </c>
      <c r="G41" s="3">
        <v>6.12</v>
      </c>
    </row>
    <row r="42" spans="1:7" x14ac:dyDescent="0.2">
      <c r="A42" s="4"/>
      <c r="B42" s="3" t="s">
        <v>10</v>
      </c>
      <c r="C42" s="3" t="s">
        <v>11</v>
      </c>
      <c r="D42" s="3">
        <v>12</v>
      </c>
      <c r="E42" s="3">
        <v>12</v>
      </c>
      <c r="F42" s="3">
        <v>12</v>
      </c>
      <c r="G42" s="3">
        <v>12</v>
      </c>
    </row>
    <row r="43" spans="1:7" x14ac:dyDescent="0.2">
      <c r="A43" s="3" t="s">
        <v>36</v>
      </c>
      <c r="B43" s="3" t="s">
        <v>6</v>
      </c>
      <c r="C43" s="3" t="s">
        <v>23</v>
      </c>
      <c r="D43" s="3">
        <v>15000</v>
      </c>
      <c r="E43" s="3">
        <v>12000</v>
      </c>
      <c r="F43" s="3">
        <v>9600</v>
      </c>
      <c r="G43" s="3">
        <v>7680</v>
      </c>
    </row>
    <row r="44" spans="1:7" x14ac:dyDescent="0.2">
      <c r="A44" s="4"/>
      <c r="B44" s="3" t="s">
        <v>7</v>
      </c>
      <c r="C44" s="3" t="s">
        <v>23</v>
      </c>
      <c r="D44" s="3">
        <v>0</v>
      </c>
      <c r="E44" s="3">
        <v>0</v>
      </c>
      <c r="F44" s="3">
        <v>0</v>
      </c>
      <c r="G44" s="3">
        <v>0</v>
      </c>
    </row>
    <row r="45" spans="1:7" x14ac:dyDescent="0.2">
      <c r="A45" s="4"/>
      <c r="B45" s="3" t="s">
        <v>8</v>
      </c>
      <c r="C45" s="3" t="s">
        <v>22</v>
      </c>
      <c r="D45" s="3">
        <v>0</v>
      </c>
      <c r="E45" s="3">
        <v>0</v>
      </c>
      <c r="F45" s="3">
        <v>0</v>
      </c>
      <c r="G45" s="3">
        <v>0</v>
      </c>
    </row>
    <row r="46" spans="1:7" x14ac:dyDescent="0.2">
      <c r="A46" s="4"/>
      <c r="B46" s="3" t="s">
        <v>9</v>
      </c>
      <c r="C46" s="3" t="s">
        <v>20</v>
      </c>
      <c r="D46" s="3">
        <v>2.16</v>
      </c>
      <c r="E46" s="3">
        <v>2.16</v>
      </c>
      <c r="F46" s="3">
        <v>2.16</v>
      </c>
      <c r="G46" s="3">
        <v>2.16</v>
      </c>
    </row>
    <row r="47" spans="1:7" x14ac:dyDescent="0.2">
      <c r="A47" s="4"/>
      <c r="B47" s="3" t="s">
        <v>10</v>
      </c>
      <c r="C47" s="3" t="s">
        <v>11</v>
      </c>
      <c r="D47" s="3">
        <v>12</v>
      </c>
      <c r="E47" s="3">
        <v>12</v>
      </c>
      <c r="F47" s="3">
        <v>12</v>
      </c>
      <c r="G47" s="3">
        <v>12</v>
      </c>
    </row>
    <row r="48" spans="1:7" x14ac:dyDescent="0.2">
      <c r="A48" s="4"/>
      <c r="B48" s="3" t="s">
        <v>44</v>
      </c>
      <c r="C48" s="3" t="s">
        <v>45</v>
      </c>
      <c r="D48" s="3">
        <v>0.25</v>
      </c>
      <c r="E48" s="4"/>
      <c r="F48" s="4"/>
      <c r="G48" s="4"/>
    </row>
    <row r="49" spans="1:7" x14ac:dyDescent="0.2">
      <c r="A49" s="3" t="s">
        <v>40</v>
      </c>
      <c r="B49" s="3" t="s">
        <v>6</v>
      </c>
      <c r="C49" s="3" t="s">
        <v>21</v>
      </c>
      <c r="D49" s="3">
        <v>300</v>
      </c>
      <c r="E49" s="4"/>
      <c r="F49" s="4"/>
      <c r="G49" s="4"/>
    </row>
    <row r="50" spans="1:7" x14ac:dyDescent="0.2">
      <c r="A50" s="4"/>
      <c r="B50" s="3" t="s">
        <v>7</v>
      </c>
      <c r="C50" s="3" t="s">
        <v>21</v>
      </c>
      <c r="D50" s="3">
        <v>0</v>
      </c>
      <c r="E50" s="4"/>
      <c r="F50" s="4"/>
      <c r="G50" s="4"/>
    </row>
    <row r="51" spans="1:7" x14ac:dyDescent="0.2">
      <c r="A51" s="4"/>
      <c r="B51" s="3" t="s">
        <v>8</v>
      </c>
      <c r="C51" s="3" t="s">
        <v>22</v>
      </c>
      <c r="D51" s="3">
        <v>0</v>
      </c>
      <c r="E51" s="4"/>
      <c r="F51" s="4"/>
      <c r="G51" s="4"/>
    </row>
    <row r="52" spans="1:7" x14ac:dyDescent="0.2">
      <c r="A52" s="4"/>
      <c r="B52" s="3" t="s">
        <v>9</v>
      </c>
      <c r="C52" s="4"/>
      <c r="D52" s="3">
        <v>0.7</v>
      </c>
      <c r="E52" s="4"/>
      <c r="F52" s="4"/>
      <c r="G52" s="3">
        <v>0.9</v>
      </c>
    </row>
    <row r="53" spans="1:7" x14ac:dyDescent="0.2">
      <c r="A53" s="4"/>
      <c r="B53" s="3" t="s">
        <v>10</v>
      </c>
      <c r="C53" s="3" t="s">
        <v>11</v>
      </c>
      <c r="D53" s="3">
        <v>10</v>
      </c>
      <c r="E53" s="4"/>
      <c r="F53" s="4"/>
      <c r="G53" s="4"/>
    </row>
    <row r="54" spans="1:7" x14ac:dyDescent="0.2">
      <c r="A54" s="3" t="s">
        <v>64</v>
      </c>
      <c r="B54" s="3" t="s">
        <v>6</v>
      </c>
      <c r="C54" s="3" t="s">
        <v>21</v>
      </c>
      <c r="D54" s="3">
        <v>2500</v>
      </c>
      <c r="E54" s="4"/>
      <c r="F54" s="4"/>
      <c r="G54" s="4"/>
    </row>
    <row r="55" spans="1:7" x14ac:dyDescent="0.2">
      <c r="A55" s="4"/>
      <c r="B55" s="3" t="s">
        <v>7</v>
      </c>
      <c r="C55" s="3" t="s">
        <v>21</v>
      </c>
      <c r="D55" s="3">
        <v>125</v>
      </c>
      <c r="E55" s="4"/>
      <c r="F55" s="4"/>
      <c r="G55" s="4"/>
    </row>
    <row r="56" spans="1:7" x14ac:dyDescent="0.2">
      <c r="A56" s="4"/>
      <c r="B56" s="3" t="s">
        <v>8</v>
      </c>
      <c r="C56" s="3" t="s">
        <v>22</v>
      </c>
      <c r="D56" s="3">
        <v>0.4</v>
      </c>
      <c r="E56" s="4"/>
      <c r="F56" s="4"/>
      <c r="G56" s="4"/>
    </row>
    <row r="57" spans="1:7" x14ac:dyDescent="0.2">
      <c r="A57" s="4"/>
      <c r="B57" s="3" t="s">
        <v>9</v>
      </c>
      <c r="C57" s="4"/>
      <c r="D57" s="3">
        <v>0.5</v>
      </c>
      <c r="E57" s="4"/>
      <c r="F57" s="4"/>
      <c r="G57" s="4"/>
    </row>
    <row r="58" spans="1:7" x14ac:dyDescent="0.2">
      <c r="A58" s="4"/>
      <c r="B58" s="3" t="s">
        <v>10</v>
      </c>
      <c r="C58" s="3" t="s">
        <v>11</v>
      </c>
      <c r="D58" s="3">
        <v>35</v>
      </c>
      <c r="E58" s="4"/>
      <c r="F58" s="4"/>
      <c r="G58" s="4"/>
    </row>
    <row r="59" spans="1:7" x14ac:dyDescent="0.2">
      <c r="A59" s="4"/>
      <c r="B59" s="3" t="s">
        <v>44</v>
      </c>
      <c r="C59" s="3" t="s">
        <v>45</v>
      </c>
      <c r="D59" s="3">
        <v>0.03</v>
      </c>
      <c r="E59" s="4"/>
      <c r="F59" s="4"/>
      <c r="G59" s="3">
        <v>0.01</v>
      </c>
    </row>
    <row r="60" spans="1:7" x14ac:dyDescent="0.2">
      <c r="A60" s="4"/>
      <c r="B60" s="3" t="s">
        <v>68</v>
      </c>
      <c r="C60" s="3" t="s">
        <v>45</v>
      </c>
      <c r="D60" s="3">
        <v>0.17</v>
      </c>
      <c r="E60" s="4"/>
      <c r="F60" s="4"/>
      <c r="G60" s="3">
        <v>0.19</v>
      </c>
    </row>
    <row r="61" spans="1:7" x14ac:dyDescent="0.2">
      <c r="A61" s="3" t="s">
        <v>70</v>
      </c>
      <c r="B61" s="3" t="s">
        <v>6</v>
      </c>
      <c r="C61" s="3" t="s">
        <v>21</v>
      </c>
      <c r="D61" s="3">
        <v>5000</v>
      </c>
      <c r="E61" s="4"/>
      <c r="F61" s="4"/>
      <c r="G61" s="4"/>
    </row>
    <row r="62" spans="1:7" x14ac:dyDescent="0.2">
      <c r="A62" s="4"/>
      <c r="B62" s="3" t="s">
        <v>7</v>
      </c>
      <c r="C62" s="3" t="s">
        <v>21</v>
      </c>
      <c r="D62" s="3">
        <v>250</v>
      </c>
      <c r="E62" s="4"/>
      <c r="F62" s="4"/>
      <c r="G62" s="4"/>
    </row>
    <row r="63" spans="1:7" x14ac:dyDescent="0.2">
      <c r="A63" s="4"/>
      <c r="B63" s="3" t="s">
        <v>8</v>
      </c>
      <c r="C63" s="3" t="s">
        <v>22</v>
      </c>
      <c r="D63" s="3">
        <v>0.4</v>
      </c>
      <c r="E63" s="4"/>
      <c r="F63" s="4"/>
      <c r="G63" s="4"/>
    </row>
    <row r="64" spans="1:7" x14ac:dyDescent="0.2">
      <c r="A64" s="4"/>
      <c r="B64" s="3" t="s">
        <v>9</v>
      </c>
      <c r="C64" s="4"/>
      <c r="D64" s="3">
        <v>0.23</v>
      </c>
      <c r="E64" s="4"/>
      <c r="F64" s="4"/>
      <c r="G64" s="4"/>
    </row>
    <row r="65" spans="1:7" x14ac:dyDescent="0.2">
      <c r="A65" s="4"/>
      <c r="B65" s="3" t="s">
        <v>10</v>
      </c>
      <c r="C65" s="3" t="s">
        <v>11</v>
      </c>
      <c r="D65" s="3">
        <v>30</v>
      </c>
      <c r="E65" s="4"/>
      <c r="F65" s="4"/>
      <c r="G65" s="4"/>
    </row>
    <row r="66" spans="1:7" x14ac:dyDescent="0.2">
      <c r="A66" s="4"/>
      <c r="B66" s="3" t="s">
        <v>44</v>
      </c>
      <c r="C66" s="3" t="s">
        <v>45</v>
      </c>
      <c r="D66" s="3">
        <v>-0.38</v>
      </c>
      <c r="E66" s="4"/>
      <c r="F66" s="4"/>
      <c r="G66" s="3">
        <v>-396</v>
      </c>
    </row>
    <row r="67" spans="1:7" x14ac:dyDescent="0.2">
      <c r="A67" s="4"/>
      <c r="B67" s="3" t="s">
        <v>68</v>
      </c>
      <c r="C67" s="3" t="s">
        <v>45</v>
      </c>
      <c r="D67" s="3">
        <v>0.38</v>
      </c>
      <c r="E67" s="4"/>
      <c r="F67" s="4"/>
      <c r="G67" s="3">
        <v>396</v>
      </c>
    </row>
    <row r="68" spans="1:7" x14ac:dyDescent="0.2">
      <c r="A68" s="3" t="s">
        <v>72</v>
      </c>
      <c r="B68" s="3" t="s">
        <v>6</v>
      </c>
      <c r="C68" s="3" t="s">
        <v>21</v>
      </c>
      <c r="D68" s="3">
        <v>200</v>
      </c>
      <c r="E68" s="4"/>
      <c r="F68" s="4"/>
      <c r="G68" s="3">
        <v>150</v>
      </c>
    </row>
    <row r="69" spans="1:7" x14ac:dyDescent="0.2">
      <c r="A69" s="4"/>
      <c r="B69" s="3" t="s">
        <v>7</v>
      </c>
      <c r="C69" s="3" t="s">
        <v>21</v>
      </c>
      <c r="D69" s="3">
        <v>10</v>
      </c>
      <c r="E69" s="4"/>
      <c r="F69" s="4"/>
      <c r="G69" s="4"/>
    </row>
    <row r="70" spans="1:7" x14ac:dyDescent="0.2">
      <c r="A70" s="4"/>
      <c r="B70" s="3" t="s">
        <v>8</v>
      </c>
      <c r="C70" s="3" t="s">
        <v>22</v>
      </c>
      <c r="D70" s="3">
        <v>0</v>
      </c>
      <c r="E70" s="4"/>
      <c r="F70" s="4"/>
      <c r="G70" s="4"/>
    </row>
    <row r="71" spans="1:7" x14ac:dyDescent="0.2">
      <c r="A71" s="4"/>
      <c r="B71" s="3" t="s">
        <v>9</v>
      </c>
      <c r="C71" s="4"/>
      <c r="D71" s="3">
        <v>0.9</v>
      </c>
      <c r="E71" s="3">
        <v>0.95</v>
      </c>
      <c r="F71" s="4"/>
      <c r="G71" s="4"/>
    </row>
    <row r="72" spans="1:7" x14ac:dyDescent="0.2">
      <c r="A72" s="4"/>
      <c r="B72" s="3" t="s">
        <v>10</v>
      </c>
      <c r="C72" s="3" t="s">
        <v>11</v>
      </c>
      <c r="D72" s="3">
        <v>12</v>
      </c>
      <c r="E72" s="4"/>
      <c r="F72" s="4"/>
      <c r="G72" s="4"/>
    </row>
    <row r="73" spans="1:7" x14ac:dyDescent="0.2">
      <c r="A73" s="4"/>
      <c r="B73" s="3" t="s">
        <v>44</v>
      </c>
      <c r="C73" s="3" t="s">
        <v>45</v>
      </c>
      <c r="D73" s="3">
        <v>0.2</v>
      </c>
      <c r="E73" s="4"/>
      <c r="F73" s="4"/>
      <c r="G73" s="4"/>
    </row>
    <row r="74" spans="1:7" x14ac:dyDescent="0.2">
      <c r="A74" s="3" t="s">
        <v>75</v>
      </c>
      <c r="B74" s="3" t="s">
        <v>6</v>
      </c>
      <c r="C74" s="3" t="s">
        <v>21</v>
      </c>
      <c r="D74" s="3">
        <v>2000</v>
      </c>
      <c r="E74" s="3">
        <v>1500</v>
      </c>
      <c r="F74" s="4"/>
      <c r="G74" s="3">
        <v>500</v>
      </c>
    </row>
    <row r="75" spans="1:7" x14ac:dyDescent="0.2">
      <c r="A75" s="4"/>
      <c r="B75" s="3" t="s">
        <v>7</v>
      </c>
      <c r="C75" s="3" t="s">
        <v>21</v>
      </c>
      <c r="D75" s="3">
        <v>100</v>
      </c>
      <c r="E75" s="3">
        <v>75</v>
      </c>
      <c r="F75" s="4"/>
      <c r="G75" s="3">
        <v>25</v>
      </c>
    </row>
    <row r="76" spans="1:7" x14ac:dyDescent="0.2">
      <c r="A76" s="4"/>
      <c r="B76" s="3" t="s">
        <v>8</v>
      </c>
      <c r="C76" s="3" t="s">
        <v>22</v>
      </c>
      <c r="D76" s="3">
        <v>0</v>
      </c>
      <c r="E76" s="4"/>
      <c r="F76" s="4"/>
      <c r="G76" s="4"/>
    </row>
    <row r="77" spans="1:7" x14ac:dyDescent="0.2">
      <c r="A77" s="4"/>
      <c r="B77" s="3" t="s">
        <v>9</v>
      </c>
      <c r="C77" s="4"/>
      <c r="D77" s="3">
        <v>3</v>
      </c>
      <c r="E77" s="3">
        <v>4</v>
      </c>
      <c r="F77" s="4"/>
      <c r="G77" s="3">
        <v>6</v>
      </c>
    </row>
    <row r="78" spans="1:7" x14ac:dyDescent="0.2">
      <c r="A78" s="4"/>
      <c r="B78" s="3" t="s">
        <v>10</v>
      </c>
      <c r="C78" s="3" t="s">
        <v>11</v>
      </c>
      <c r="D78" s="3">
        <v>12</v>
      </c>
      <c r="E78" s="4"/>
      <c r="F78" s="4"/>
      <c r="G78" s="4"/>
    </row>
    <row r="79" spans="1:7" x14ac:dyDescent="0.2">
      <c r="A79" s="3" t="s">
        <v>77</v>
      </c>
      <c r="B79" s="3" t="s">
        <v>6</v>
      </c>
      <c r="C79" s="3" t="s">
        <v>21</v>
      </c>
      <c r="D79" s="3">
        <v>450</v>
      </c>
      <c r="E79" s="4"/>
      <c r="F79" s="4"/>
      <c r="G79" s="3">
        <v>300</v>
      </c>
    </row>
    <row r="80" spans="1:7" x14ac:dyDescent="0.2">
      <c r="A80" s="4"/>
      <c r="B80" s="3" t="s">
        <v>7</v>
      </c>
      <c r="C80" s="3" t="s">
        <v>21</v>
      </c>
      <c r="D80" s="3">
        <v>22.5</v>
      </c>
      <c r="E80" s="4"/>
      <c r="F80" s="4"/>
      <c r="G80" s="3">
        <v>15</v>
      </c>
    </row>
    <row r="81" spans="1:7" x14ac:dyDescent="0.2">
      <c r="A81" s="4"/>
      <c r="B81" s="3" t="s">
        <v>8</v>
      </c>
      <c r="C81" s="3" t="s">
        <v>22</v>
      </c>
      <c r="D81" s="3">
        <v>0.2</v>
      </c>
      <c r="E81" s="4"/>
      <c r="F81" s="4"/>
      <c r="G81" s="3">
        <v>0.2</v>
      </c>
    </row>
    <row r="82" spans="1:7" x14ac:dyDescent="0.2">
      <c r="A82" s="4"/>
      <c r="B82" s="3" t="s">
        <v>9</v>
      </c>
      <c r="C82" s="4"/>
      <c r="D82" s="3">
        <v>0.85</v>
      </c>
      <c r="E82" s="4"/>
      <c r="F82" s="4"/>
      <c r="G82" s="3">
        <v>0.9</v>
      </c>
    </row>
    <row r="83" spans="1:7" x14ac:dyDescent="0.2">
      <c r="A83" s="4"/>
      <c r="B83" s="3" t="s">
        <v>10</v>
      </c>
      <c r="C83" s="3" t="s">
        <v>11</v>
      </c>
      <c r="D83" s="3">
        <v>20</v>
      </c>
      <c r="E83" s="4"/>
      <c r="F83" s="4"/>
      <c r="G83" s="3">
        <v>20</v>
      </c>
    </row>
    <row r="84" spans="1:7" x14ac:dyDescent="0.2">
      <c r="A84" s="4"/>
      <c r="B84" s="3" t="s">
        <v>44</v>
      </c>
      <c r="C84" s="3" t="s">
        <v>45</v>
      </c>
      <c r="D84" s="3">
        <v>0.2</v>
      </c>
      <c r="E84" s="4"/>
      <c r="F84" s="4"/>
      <c r="G84" s="3">
        <v>0.2</v>
      </c>
    </row>
    <row r="85" spans="1:7" x14ac:dyDescent="0.2">
      <c r="A85" s="3" t="s">
        <v>81</v>
      </c>
      <c r="B85" s="3" t="s">
        <v>6</v>
      </c>
      <c r="C85" s="3" t="s">
        <v>21</v>
      </c>
      <c r="D85" s="3">
        <v>900</v>
      </c>
      <c r="E85" s="4"/>
      <c r="F85" s="4"/>
      <c r="G85" s="3">
        <v>500</v>
      </c>
    </row>
    <row r="86" spans="1:7" x14ac:dyDescent="0.2">
      <c r="A86" s="4"/>
      <c r="B86" s="3" t="s">
        <v>7</v>
      </c>
      <c r="C86" s="3" t="s">
        <v>21</v>
      </c>
      <c r="D86" s="3">
        <v>45</v>
      </c>
      <c r="E86" s="4"/>
      <c r="F86" s="4"/>
      <c r="G86" s="3">
        <v>25</v>
      </c>
    </row>
    <row r="87" spans="1:7" x14ac:dyDescent="0.2">
      <c r="A87" s="4"/>
      <c r="B87" s="3" t="s">
        <v>8</v>
      </c>
      <c r="C87" s="3" t="s">
        <v>22</v>
      </c>
      <c r="D87" s="3">
        <v>0.4</v>
      </c>
      <c r="E87" s="4"/>
      <c r="F87" s="4"/>
      <c r="G87" s="3">
        <v>0.3</v>
      </c>
    </row>
    <row r="88" spans="1:7" x14ac:dyDescent="0.2">
      <c r="A88" s="4"/>
      <c r="B88" s="3" t="s">
        <v>9</v>
      </c>
      <c r="C88" s="4"/>
      <c r="D88" s="3">
        <v>0.8</v>
      </c>
      <c r="E88" s="4"/>
      <c r="F88" s="4"/>
      <c r="G88" s="3">
        <v>0.85</v>
      </c>
    </row>
    <row r="89" spans="1:7" x14ac:dyDescent="0.2">
      <c r="A89" s="4"/>
      <c r="B89" s="3" t="s">
        <v>10</v>
      </c>
      <c r="C89" s="3" t="s">
        <v>11</v>
      </c>
      <c r="D89" s="3">
        <v>20</v>
      </c>
      <c r="E89" s="4"/>
      <c r="F89" s="4"/>
      <c r="G89" s="3">
        <v>20</v>
      </c>
    </row>
    <row r="90" spans="1:7" x14ac:dyDescent="0.2">
      <c r="A90" s="4"/>
      <c r="B90" s="3" t="s">
        <v>44</v>
      </c>
      <c r="C90" s="3" t="s">
        <v>45</v>
      </c>
      <c r="D90" s="3">
        <v>0.03</v>
      </c>
      <c r="E90" s="4"/>
      <c r="F90" s="4"/>
      <c r="G90" s="3">
        <v>0.02</v>
      </c>
    </row>
    <row r="91" spans="1:7" x14ac:dyDescent="0.2">
      <c r="A91" s="4"/>
      <c r="B91" s="3" t="s">
        <v>68</v>
      </c>
      <c r="C91" s="3" t="s">
        <v>45</v>
      </c>
      <c r="D91" s="3">
        <v>0.17</v>
      </c>
      <c r="E91" s="4"/>
      <c r="F91" s="4"/>
      <c r="G91" s="3">
        <v>0.18</v>
      </c>
    </row>
    <row r="92" spans="1:7" x14ac:dyDescent="0.2">
      <c r="A92" s="3" t="s">
        <v>83</v>
      </c>
      <c r="B92" s="3" t="s">
        <v>6</v>
      </c>
      <c r="C92" s="3" t="s">
        <v>21</v>
      </c>
      <c r="D92" s="3">
        <v>350</v>
      </c>
      <c r="E92" s="4"/>
      <c r="F92" s="4"/>
      <c r="G92" s="3">
        <v>100</v>
      </c>
    </row>
    <row r="93" spans="1:7" x14ac:dyDescent="0.2">
      <c r="A93" s="4"/>
      <c r="B93" s="3" t="s">
        <v>7</v>
      </c>
      <c r="C93" s="3" t="s">
        <v>21</v>
      </c>
      <c r="D93" s="3">
        <v>17.5</v>
      </c>
      <c r="E93" s="4"/>
      <c r="F93" s="4"/>
      <c r="G93" s="3">
        <v>5</v>
      </c>
    </row>
    <row r="94" spans="1:7" x14ac:dyDescent="0.2">
      <c r="A94" s="4"/>
      <c r="B94" s="3" t="s">
        <v>8</v>
      </c>
      <c r="C94" s="3" t="s">
        <v>22</v>
      </c>
      <c r="D94" s="3">
        <v>0.2</v>
      </c>
      <c r="E94" s="4"/>
      <c r="F94" s="4"/>
      <c r="G94" s="3">
        <v>0.2</v>
      </c>
    </row>
    <row r="95" spans="1:7" x14ac:dyDescent="0.2">
      <c r="A95" s="4"/>
      <c r="B95" s="3" t="s">
        <v>9</v>
      </c>
      <c r="C95" s="4"/>
      <c r="D95" s="3">
        <v>0.95</v>
      </c>
      <c r="E95" s="4"/>
      <c r="F95" s="4"/>
      <c r="G95" s="3">
        <v>0.99</v>
      </c>
    </row>
    <row r="96" spans="1:7" x14ac:dyDescent="0.2">
      <c r="A96" s="4"/>
      <c r="B96" s="3" t="s">
        <v>10</v>
      </c>
      <c r="C96" s="3" t="s">
        <v>11</v>
      </c>
      <c r="D96" s="3">
        <v>15</v>
      </c>
      <c r="E96" s="4"/>
      <c r="F96" s="4"/>
      <c r="G96" s="3">
        <v>20</v>
      </c>
    </row>
    <row r="97" spans="1:7" x14ac:dyDescent="0.2">
      <c r="A97" s="3" t="s">
        <v>85</v>
      </c>
      <c r="B97" s="3" t="s">
        <v>6</v>
      </c>
      <c r="C97" s="3" t="s">
        <v>21</v>
      </c>
      <c r="D97" s="3">
        <v>900</v>
      </c>
      <c r="E97" s="4"/>
      <c r="F97" s="4"/>
      <c r="G97" s="3">
        <v>400</v>
      </c>
    </row>
    <row r="98" spans="1:7" x14ac:dyDescent="0.2">
      <c r="A98" s="4"/>
      <c r="B98" s="3" t="s">
        <v>7</v>
      </c>
      <c r="C98" s="3" t="s">
        <v>21</v>
      </c>
      <c r="D98" s="3">
        <v>45</v>
      </c>
      <c r="E98" s="4"/>
      <c r="F98" s="4"/>
      <c r="G98" s="3">
        <v>20</v>
      </c>
    </row>
    <row r="99" spans="1:7" x14ac:dyDescent="0.2">
      <c r="A99" s="4"/>
      <c r="B99" s="3" t="s">
        <v>8</v>
      </c>
      <c r="C99" s="3" t="s">
        <v>22</v>
      </c>
      <c r="D99" s="3">
        <v>0.2</v>
      </c>
      <c r="E99" s="4"/>
      <c r="F99" s="4"/>
      <c r="G99" s="3">
        <v>0.2</v>
      </c>
    </row>
    <row r="100" spans="1:7" x14ac:dyDescent="0.2">
      <c r="A100" s="4"/>
      <c r="B100" s="3" t="s">
        <v>9</v>
      </c>
      <c r="C100" s="4"/>
      <c r="D100" s="3">
        <v>0.6</v>
      </c>
      <c r="E100" s="4"/>
      <c r="F100" s="4"/>
      <c r="G100" s="3">
        <v>0.8</v>
      </c>
    </row>
    <row r="101" spans="1:7" x14ac:dyDescent="0.2">
      <c r="A101" s="4"/>
      <c r="B101" s="3" t="s">
        <v>10</v>
      </c>
      <c r="C101" s="3" t="s">
        <v>11</v>
      </c>
      <c r="D101" s="3">
        <v>20</v>
      </c>
      <c r="E101" s="4"/>
      <c r="F101" s="4"/>
      <c r="G101" s="3">
        <v>20</v>
      </c>
    </row>
    <row r="102" spans="1:7" x14ac:dyDescent="0.2">
      <c r="A102" s="4"/>
      <c r="B102" s="3" t="s">
        <v>44</v>
      </c>
      <c r="C102" s="3" t="s">
        <v>45</v>
      </c>
      <c r="D102" s="3">
        <v>0.2</v>
      </c>
      <c r="E102" s="4"/>
      <c r="F102" s="4"/>
      <c r="G102" s="3">
        <v>0.2</v>
      </c>
    </row>
    <row r="103" spans="1:7" x14ac:dyDescent="0.2">
      <c r="A103" s="3" t="s">
        <v>88</v>
      </c>
      <c r="B103" s="3" t="s">
        <v>6</v>
      </c>
      <c r="C103" s="3" t="s">
        <v>21</v>
      </c>
      <c r="D103" s="3">
        <v>1800</v>
      </c>
      <c r="E103" s="4"/>
      <c r="F103" s="4"/>
      <c r="G103" s="3">
        <v>1000</v>
      </c>
    </row>
    <row r="104" spans="1:7" x14ac:dyDescent="0.2">
      <c r="A104" s="4"/>
      <c r="B104" s="3" t="s">
        <v>7</v>
      </c>
      <c r="C104" s="3" t="s">
        <v>21</v>
      </c>
      <c r="D104" s="3">
        <v>90</v>
      </c>
      <c r="E104" s="4"/>
      <c r="F104" s="4"/>
      <c r="G104" s="3">
        <v>50</v>
      </c>
    </row>
    <row r="105" spans="1:7" x14ac:dyDescent="0.2">
      <c r="A105" s="4"/>
      <c r="B105" s="3" t="s">
        <v>8</v>
      </c>
      <c r="C105" s="3" t="s">
        <v>22</v>
      </c>
      <c r="D105" s="3">
        <v>0.4</v>
      </c>
      <c r="E105" s="4"/>
      <c r="F105" s="4"/>
      <c r="G105" s="3">
        <v>0.3</v>
      </c>
    </row>
    <row r="106" spans="1:7" x14ac:dyDescent="0.2">
      <c r="A106" s="4"/>
      <c r="B106" s="3" t="s">
        <v>9</v>
      </c>
      <c r="C106" s="4"/>
      <c r="D106" s="3">
        <v>0.5</v>
      </c>
      <c r="E106" s="4"/>
      <c r="F106" s="4"/>
      <c r="G106" s="3">
        <v>0.7</v>
      </c>
    </row>
    <row r="107" spans="1:7" x14ac:dyDescent="0.2">
      <c r="A107" s="4"/>
      <c r="B107" s="3" t="s">
        <v>10</v>
      </c>
      <c r="C107" s="3" t="s">
        <v>11</v>
      </c>
      <c r="D107" s="3">
        <v>20</v>
      </c>
      <c r="E107" s="4"/>
      <c r="F107" s="4"/>
      <c r="G107" s="3">
        <v>20</v>
      </c>
    </row>
    <row r="108" spans="1:7" x14ac:dyDescent="0.2">
      <c r="A108" s="4"/>
      <c r="B108" s="3" t="s">
        <v>44</v>
      </c>
      <c r="C108" s="3" t="s">
        <v>45</v>
      </c>
      <c r="D108" s="3">
        <v>0.03</v>
      </c>
      <c r="E108" s="4"/>
      <c r="F108" s="4"/>
      <c r="G108" s="3">
        <v>0.02</v>
      </c>
    </row>
    <row r="109" spans="1:7" x14ac:dyDescent="0.2">
      <c r="A109" s="4"/>
      <c r="B109" s="3" t="s">
        <v>68</v>
      </c>
      <c r="C109" s="3" t="s">
        <v>45</v>
      </c>
      <c r="D109" s="3">
        <v>0.17</v>
      </c>
      <c r="E109" s="4"/>
      <c r="F109" s="4"/>
      <c r="G109" s="3">
        <v>0.18</v>
      </c>
    </row>
    <row r="110" spans="1:7" x14ac:dyDescent="0.2">
      <c r="A110" s="3" t="s">
        <v>95</v>
      </c>
      <c r="B110" s="3" t="s">
        <v>6</v>
      </c>
      <c r="C110" s="3" t="s">
        <v>23</v>
      </c>
      <c r="D110" s="3">
        <v>0</v>
      </c>
      <c r="E110" s="4"/>
      <c r="F110" s="4"/>
      <c r="G110" s="4"/>
    </row>
    <row r="111" spans="1:7" x14ac:dyDescent="0.2">
      <c r="A111" s="4"/>
      <c r="B111" s="3" t="s">
        <v>7</v>
      </c>
      <c r="C111" s="3" t="s">
        <v>23</v>
      </c>
      <c r="D111" s="3">
        <v>0</v>
      </c>
      <c r="E111" s="4"/>
      <c r="F111" s="4"/>
      <c r="G111" s="4"/>
    </row>
    <row r="112" spans="1:7" x14ac:dyDescent="0.2">
      <c r="A112" s="4"/>
      <c r="B112" s="3" t="s">
        <v>8</v>
      </c>
      <c r="C112" s="3" t="s">
        <v>22</v>
      </c>
      <c r="D112" s="3">
        <v>0</v>
      </c>
      <c r="E112" s="4"/>
      <c r="F112" s="4"/>
      <c r="G112" s="4"/>
    </row>
    <row r="113" spans="1:7" x14ac:dyDescent="0.2">
      <c r="A113" s="4"/>
      <c r="B113" s="3" t="s">
        <v>9</v>
      </c>
      <c r="C113" s="3" t="s">
        <v>20</v>
      </c>
      <c r="D113" s="3">
        <v>2.5</v>
      </c>
      <c r="E113" s="4"/>
      <c r="F113" s="4"/>
      <c r="G113" s="4"/>
    </row>
    <row r="114" spans="1:7" x14ac:dyDescent="0.2">
      <c r="A114" s="4"/>
      <c r="B114" s="3" t="s">
        <v>10</v>
      </c>
      <c r="C114" s="3" t="s">
        <v>11</v>
      </c>
      <c r="D114" s="3">
        <v>4</v>
      </c>
      <c r="E114" s="4"/>
      <c r="F114" s="4"/>
      <c r="G114" s="4"/>
    </row>
    <row r="115" spans="1:7" x14ac:dyDescent="0.2">
      <c r="A115" s="3" t="s">
        <v>97</v>
      </c>
      <c r="B115" s="3" t="s">
        <v>6</v>
      </c>
      <c r="C115" s="3" t="s">
        <v>23</v>
      </c>
      <c r="D115" s="3">
        <v>0</v>
      </c>
      <c r="E115" s="4"/>
      <c r="F115" s="4"/>
      <c r="G115" s="4"/>
    </row>
    <row r="116" spans="1:7" x14ac:dyDescent="0.2">
      <c r="A116" s="4"/>
      <c r="B116" s="3" t="s">
        <v>7</v>
      </c>
      <c r="C116" s="3" t="s">
        <v>23</v>
      </c>
      <c r="D116" s="3">
        <v>0</v>
      </c>
      <c r="E116" s="4"/>
      <c r="F116" s="4"/>
      <c r="G116" s="4"/>
    </row>
    <row r="117" spans="1:7" x14ac:dyDescent="0.2">
      <c r="A117" s="4"/>
      <c r="B117" s="3" t="s">
        <v>8</v>
      </c>
      <c r="C117" s="3" t="s">
        <v>22</v>
      </c>
      <c r="D117" s="3">
        <v>0</v>
      </c>
      <c r="E117" s="4"/>
      <c r="F117" s="4"/>
      <c r="G117" s="4"/>
    </row>
    <row r="118" spans="1:7" x14ac:dyDescent="0.2">
      <c r="A118" s="4"/>
      <c r="B118" s="3" t="s">
        <v>9</v>
      </c>
      <c r="C118" s="3" t="s">
        <v>20</v>
      </c>
      <c r="D118" s="3">
        <v>2.5</v>
      </c>
      <c r="E118" s="4"/>
      <c r="F118" s="4"/>
      <c r="G118" s="4"/>
    </row>
    <row r="119" spans="1:7" x14ac:dyDescent="0.2">
      <c r="A119" s="4"/>
      <c r="B119" s="3" t="s">
        <v>10</v>
      </c>
      <c r="C119" s="3" t="s">
        <v>11</v>
      </c>
      <c r="D119" s="3">
        <v>4</v>
      </c>
      <c r="E119" s="4"/>
      <c r="F119" s="4"/>
      <c r="G119" s="4"/>
    </row>
    <row r="120" spans="1:7" x14ac:dyDescent="0.2">
      <c r="A120" s="4"/>
      <c r="B120" s="3" t="s">
        <v>44</v>
      </c>
      <c r="C120" s="3" t="s">
        <v>45</v>
      </c>
      <c r="D120" s="3">
        <v>0.25</v>
      </c>
      <c r="E120" s="4"/>
      <c r="F120" s="4"/>
      <c r="G120" s="4"/>
    </row>
    <row r="121" spans="1:7" x14ac:dyDescent="0.2">
      <c r="A121" s="3" t="s">
        <v>94</v>
      </c>
      <c r="B121" s="3" t="s">
        <v>6</v>
      </c>
      <c r="C121" s="3" t="s">
        <v>21</v>
      </c>
      <c r="D121" s="3">
        <v>0</v>
      </c>
      <c r="E121" s="4"/>
      <c r="F121" s="4"/>
      <c r="G121" s="4"/>
    </row>
    <row r="122" spans="1:7" x14ac:dyDescent="0.2">
      <c r="A122" s="4"/>
      <c r="B122" s="3" t="s">
        <v>7</v>
      </c>
      <c r="C122" s="3" t="s">
        <v>21</v>
      </c>
      <c r="D122" s="3">
        <v>48</v>
      </c>
      <c r="E122" s="4"/>
      <c r="F122" s="4"/>
      <c r="G122" s="4"/>
    </row>
    <row r="123" spans="1:7" x14ac:dyDescent="0.2">
      <c r="A123" s="4"/>
      <c r="B123" s="3" t="s">
        <v>8</v>
      </c>
      <c r="C123" s="3" t="s">
        <v>22</v>
      </c>
      <c r="D123" s="3">
        <v>0.2</v>
      </c>
      <c r="E123" s="4"/>
      <c r="F123" s="4"/>
      <c r="G123" s="4"/>
    </row>
    <row r="124" spans="1:7" x14ac:dyDescent="0.2">
      <c r="A124" s="4"/>
      <c r="B124" s="3" t="s">
        <v>9</v>
      </c>
      <c r="C124" s="4"/>
      <c r="D124" s="3">
        <v>0.6</v>
      </c>
      <c r="E124" s="4"/>
      <c r="F124" s="4"/>
      <c r="G124" s="4"/>
    </row>
    <row r="125" spans="1:7" x14ac:dyDescent="0.2">
      <c r="A125" s="4"/>
      <c r="B125" s="3" t="s">
        <v>10</v>
      </c>
      <c r="C125" s="3" t="s">
        <v>11</v>
      </c>
      <c r="D125" s="3">
        <v>4</v>
      </c>
      <c r="E125" s="4"/>
      <c r="F125" s="4"/>
      <c r="G125" s="4"/>
    </row>
    <row r="126" spans="1:7" x14ac:dyDescent="0.2">
      <c r="A126" s="4"/>
      <c r="B126" s="3" t="s">
        <v>44</v>
      </c>
      <c r="C126" s="3" t="s">
        <v>45</v>
      </c>
      <c r="D126" s="3">
        <v>0.2</v>
      </c>
      <c r="E126" s="4"/>
      <c r="F126" s="4"/>
      <c r="G126" s="4"/>
    </row>
    <row r="127" spans="1:7" x14ac:dyDescent="0.2">
      <c r="A127" s="3" t="s">
        <v>100</v>
      </c>
      <c r="B127" s="3" t="s">
        <v>6</v>
      </c>
      <c r="C127" s="3" t="s">
        <v>21</v>
      </c>
      <c r="D127" s="3">
        <v>0</v>
      </c>
      <c r="E127" s="4"/>
      <c r="F127" s="4"/>
      <c r="G127" s="4"/>
    </row>
    <row r="128" spans="1:7" x14ac:dyDescent="0.2">
      <c r="A128" s="4"/>
      <c r="B128" s="3" t="s">
        <v>7</v>
      </c>
      <c r="C128" s="3" t="s">
        <v>21</v>
      </c>
      <c r="D128" s="3">
        <v>0</v>
      </c>
      <c r="E128" s="4"/>
      <c r="F128" s="4"/>
      <c r="G128" s="4"/>
    </row>
    <row r="129" spans="1:7" x14ac:dyDescent="0.2">
      <c r="A129" s="4"/>
      <c r="B129" s="3" t="s">
        <v>8</v>
      </c>
      <c r="C129" s="3" t="s">
        <v>22</v>
      </c>
      <c r="D129" s="3">
        <v>0</v>
      </c>
      <c r="E129" s="4"/>
      <c r="F129" s="4"/>
      <c r="G129" s="4"/>
    </row>
    <row r="130" spans="1:7" x14ac:dyDescent="0.2">
      <c r="A130" s="4"/>
      <c r="B130" s="3" t="s">
        <v>9</v>
      </c>
      <c r="C130" s="4"/>
      <c r="D130" s="3">
        <v>0.9</v>
      </c>
      <c r="E130" s="4"/>
      <c r="F130" s="4"/>
      <c r="G130" s="4"/>
    </row>
    <row r="131" spans="1:7" x14ac:dyDescent="0.2">
      <c r="A131" s="4"/>
      <c r="B131" s="3" t="s">
        <v>10</v>
      </c>
      <c r="C131" s="3" t="s">
        <v>11</v>
      </c>
      <c r="D131" s="3">
        <v>4</v>
      </c>
      <c r="E131" s="4"/>
      <c r="F131" s="4"/>
      <c r="G131" s="4"/>
    </row>
    <row r="132" spans="1:7" x14ac:dyDescent="0.2">
      <c r="A132" s="4"/>
      <c r="B132" s="3" t="s">
        <v>44</v>
      </c>
      <c r="C132" s="3" t="s">
        <v>45</v>
      </c>
      <c r="D132" s="3">
        <v>0.2</v>
      </c>
      <c r="E132" s="4"/>
      <c r="F132" s="4"/>
      <c r="G132" s="4"/>
    </row>
    <row r="133" spans="1:7" x14ac:dyDescent="0.2">
      <c r="A133" s="3" t="s">
        <v>98</v>
      </c>
      <c r="B133" s="3" t="s">
        <v>6</v>
      </c>
      <c r="C133" s="3" t="s">
        <v>21</v>
      </c>
      <c r="D133" s="3">
        <v>0</v>
      </c>
      <c r="E133" s="4"/>
      <c r="F133" s="4"/>
      <c r="G133" s="4"/>
    </row>
    <row r="134" spans="1:7" x14ac:dyDescent="0.2">
      <c r="A134" s="4"/>
      <c r="B134" s="3" t="s">
        <v>7</v>
      </c>
      <c r="C134" s="3" t="s">
        <v>21</v>
      </c>
      <c r="D134" s="3">
        <v>20</v>
      </c>
      <c r="E134" s="4"/>
      <c r="F134" s="4"/>
      <c r="G134" s="4"/>
    </row>
    <row r="135" spans="1:7" x14ac:dyDescent="0.2">
      <c r="A135" s="4"/>
      <c r="B135" s="3" t="s">
        <v>8</v>
      </c>
      <c r="C135" s="3" t="s">
        <v>22</v>
      </c>
      <c r="D135" s="3">
        <v>0.1</v>
      </c>
      <c r="E135" s="4"/>
      <c r="F135" s="4"/>
      <c r="G135" s="4"/>
    </row>
    <row r="136" spans="1:7" x14ac:dyDescent="0.2">
      <c r="A136" s="4"/>
      <c r="B136" s="3" t="s">
        <v>9</v>
      </c>
      <c r="C136" s="4"/>
      <c r="D136" s="3">
        <v>0.85</v>
      </c>
      <c r="E136" s="4"/>
      <c r="F136" s="4"/>
      <c r="G136" s="4"/>
    </row>
    <row r="137" spans="1:7" x14ac:dyDescent="0.2">
      <c r="A137" s="4"/>
      <c r="B137" s="3" t="s">
        <v>10</v>
      </c>
      <c r="C137" s="3" t="s">
        <v>11</v>
      </c>
      <c r="D137" s="3">
        <v>4</v>
      </c>
      <c r="E137" s="4"/>
      <c r="F137" s="4"/>
      <c r="G137" s="4"/>
    </row>
    <row r="138" spans="1:7" x14ac:dyDescent="0.2">
      <c r="A138" s="4"/>
      <c r="B138" s="3" t="s">
        <v>44</v>
      </c>
      <c r="C138" s="3" t="s">
        <v>45</v>
      </c>
      <c r="D138" s="3">
        <v>0.2</v>
      </c>
      <c r="E138" s="4"/>
      <c r="F138" s="4"/>
      <c r="G138" s="4"/>
    </row>
    <row r="139" spans="1:7" x14ac:dyDescent="0.2">
      <c r="A139" s="3" t="s">
        <v>99</v>
      </c>
      <c r="B139" s="3" t="s">
        <v>6</v>
      </c>
      <c r="C139" s="3" t="s">
        <v>21</v>
      </c>
      <c r="D139" s="3">
        <v>0</v>
      </c>
      <c r="E139" s="4"/>
      <c r="F139" s="4"/>
      <c r="G139" s="4"/>
    </row>
    <row r="140" spans="1:7" x14ac:dyDescent="0.2">
      <c r="A140" s="4"/>
      <c r="B140" s="3" t="s">
        <v>7</v>
      </c>
      <c r="C140" s="3" t="s">
        <v>21</v>
      </c>
      <c r="D140" s="3">
        <v>0</v>
      </c>
      <c r="E140" s="4"/>
      <c r="F140" s="4"/>
      <c r="G140" s="4"/>
    </row>
    <row r="141" spans="1:7" x14ac:dyDescent="0.2">
      <c r="A141" s="4"/>
      <c r="B141" s="3" t="s">
        <v>8</v>
      </c>
      <c r="C141" s="3" t="s">
        <v>22</v>
      </c>
      <c r="D141" s="3">
        <v>0</v>
      </c>
      <c r="E141" s="4"/>
      <c r="F141" s="4"/>
      <c r="G141" s="4"/>
    </row>
    <row r="142" spans="1:7" x14ac:dyDescent="0.2">
      <c r="A142" s="4"/>
      <c r="B142" s="3" t="s">
        <v>9</v>
      </c>
      <c r="C142" s="4"/>
      <c r="D142" s="3">
        <v>0.6</v>
      </c>
      <c r="E142" s="4"/>
      <c r="F142" s="4"/>
      <c r="G142" s="4"/>
    </row>
    <row r="143" spans="1:7" x14ac:dyDescent="0.2">
      <c r="A143" s="4"/>
      <c r="B143" s="3" t="s">
        <v>10</v>
      </c>
      <c r="C143" s="3" t="s">
        <v>11</v>
      </c>
      <c r="D143" s="3">
        <v>4</v>
      </c>
      <c r="E143" s="4"/>
      <c r="F143" s="4"/>
      <c r="G143" s="4"/>
    </row>
    <row r="144" spans="1:7" x14ac:dyDescent="0.2">
      <c r="A144" s="4"/>
      <c r="B144" s="3" t="s">
        <v>44</v>
      </c>
      <c r="C144" s="3" t="s">
        <v>45</v>
      </c>
      <c r="D144" s="3">
        <v>0.2</v>
      </c>
      <c r="E144" s="4"/>
      <c r="F144" s="4"/>
      <c r="G144" s="4"/>
    </row>
    <row r="145" spans="1:7" x14ac:dyDescent="0.2">
      <c r="A145" t="s">
        <v>107</v>
      </c>
      <c r="B145" t="s">
        <v>6</v>
      </c>
      <c r="C145" t="s">
        <v>21</v>
      </c>
      <c r="D145">
        <v>845</v>
      </c>
    </row>
    <row r="146" spans="1:7" x14ac:dyDescent="0.2">
      <c r="B146" t="s">
        <v>7</v>
      </c>
      <c r="C146" t="s">
        <v>21</v>
      </c>
      <c r="D146">
        <f>0.047*D145</f>
        <v>39.715000000000003</v>
      </c>
    </row>
    <row r="147" spans="1:7" x14ac:dyDescent="0.2">
      <c r="B147" t="s">
        <v>8</v>
      </c>
      <c r="C147" t="s">
        <v>22</v>
      </c>
    </row>
    <row r="148" spans="1:7" x14ac:dyDescent="0.2">
      <c r="B148" t="s">
        <v>9</v>
      </c>
      <c r="D148">
        <v>0.76</v>
      </c>
    </row>
    <row r="149" spans="1:7" x14ac:dyDescent="0.2">
      <c r="B149" t="s">
        <v>10</v>
      </c>
      <c r="C149" t="s">
        <v>11</v>
      </c>
      <c r="D149">
        <v>30</v>
      </c>
    </row>
    <row r="150" spans="1:7" x14ac:dyDescent="0.2">
      <c r="B150" t="s">
        <v>44</v>
      </c>
      <c r="C150" t="s">
        <v>45</v>
      </c>
      <c r="D150">
        <v>0.2</v>
      </c>
    </row>
    <row r="151" spans="1:7" x14ac:dyDescent="0.2">
      <c r="A151" t="s">
        <v>105</v>
      </c>
      <c r="B151" t="s">
        <v>6</v>
      </c>
      <c r="C151" t="s">
        <v>21</v>
      </c>
      <c r="D151">
        <v>1575</v>
      </c>
    </row>
    <row r="152" spans="1:7" x14ac:dyDescent="0.2">
      <c r="B152" t="s">
        <v>7</v>
      </c>
      <c r="C152" t="s">
        <v>21</v>
      </c>
      <c r="D152">
        <f>0.035*D151</f>
        <v>55.125000000000007</v>
      </c>
    </row>
    <row r="153" spans="1:7" x14ac:dyDescent="0.2">
      <c r="B153" t="s">
        <v>8</v>
      </c>
      <c r="C153" t="s">
        <v>22</v>
      </c>
      <c r="D153">
        <v>7.7999999999999996E-3</v>
      </c>
    </row>
    <row r="154" spans="1:7" x14ac:dyDescent="0.2">
      <c r="B154" t="s">
        <v>9</v>
      </c>
      <c r="D154">
        <v>0.69</v>
      </c>
    </row>
    <row r="155" spans="1:7" x14ac:dyDescent="0.2">
      <c r="B155" t="s">
        <v>10</v>
      </c>
      <c r="C155" t="s">
        <v>11</v>
      </c>
      <c r="D155">
        <v>30</v>
      </c>
    </row>
    <row r="156" spans="1:7" x14ac:dyDescent="0.2">
      <c r="B156" t="s">
        <v>68</v>
      </c>
      <c r="C156" t="s">
        <v>45</v>
      </c>
      <c r="D156">
        <f>0.2*0.95</f>
        <v>0.19</v>
      </c>
    </row>
    <row r="157" spans="1:7" x14ac:dyDescent="0.2">
      <c r="B157" t="s">
        <v>44</v>
      </c>
      <c r="C157" t="s">
        <v>45</v>
      </c>
      <c r="D157">
        <f>0.01</f>
        <v>0.01</v>
      </c>
    </row>
    <row r="158" spans="1:7" x14ac:dyDescent="0.2">
      <c r="A158" t="s">
        <v>108</v>
      </c>
      <c r="B158" t="s">
        <v>6</v>
      </c>
      <c r="C158" t="s">
        <v>21</v>
      </c>
      <c r="D158">
        <v>1325</v>
      </c>
      <c r="G158">
        <v>395</v>
      </c>
    </row>
    <row r="159" spans="1:7" x14ac:dyDescent="0.2">
      <c r="B159" t="s">
        <v>7</v>
      </c>
      <c r="C159" t="s">
        <v>21</v>
      </c>
      <c r="D159">
        <f>0.03*D158</f>
        <v>39.75</v>
      </c>
      <c r="G159">
        <f t="shared" ref="G159" si="0">0.03*G158</f>
        <v>11.85</v>
      </c>
    </row>
    <row r="160" spans="1:7" x14ac:dyDescent="0.2">
      <c r="B160" t="s">
        <v>8</v>
      </c>
      <c r="C160" t="s">
        <v>22</v>
      </c>
    </row>
    <row r="161" spans="1:7" x14ac:dyDescent="0.2">
      <c r="B161" t="s">
        <v>9</v>
      </c>
      <c r="D161">
        <v>0.64</v>
      </c>
      <c r="G161">
        <v>0.74</v>
      </c>
    </row>
    <row r="162" spans="1:7" x14ac:dyDescent="0.2">
      <c r="B162" t="s">
        <v>10</v>
      </c>
      <c r="C162" t="s">
        <v>11</v>
      </c>
      <c r="D162">
        <v>30</v>
      </c>
      <c r="G162">
        <v>30</v>
      </c>
    </row>
    <row r="163" spans="1:7" x14ac:dyDescent="0.2">
      <c r="A163" t="s">
        <v>110</v>
      </c>
      <c r="B163" t="s">
        <v>6</v>
      </c>
      <c r="C163" t="s">
        <v>21</v>
      </c>
    </row>
    <row r="164" spans="1:7" x14ac:dyDescent="0.2">
      <c r="B164" t="s">
        <v>7</v>
      </c>
      <c r="C164" t="s">
        <v>21</v>
      </c>
      <c r="D164">
        <v>39.715000000000003</v>
      </c>
    </row>
    <row r="165" spans="1:7" x14ac:dyDescent="0.2">
      <c r="B165" t="s">
        <v>8</v>
      </c>
      <c r="C165" t="s">
        <v>22</v>
      </c>
    </row>
    <row r="166" spans="1:7" x14ac:dyDescent="0.2">
      <c r="B166" t="s">
        <v>9</v>
      </c>
      <c r="D166">
        <v>0.76</v>
      </c>
    </row>
    <row r="167" spans="1:7" x14ac:dyDescent="0.2">
      <c r="B167" t="s">
        <v>10</v>
      </c>
      <c r="C167" t="s">
        <v>11</v>
      </c>
      <c r="D167">
        <v>4</v>
      </c>
    </row>
    <row r="168" spans="1:7" x14ac:dyDescent="0.2">
      <c r="B168" t="s">
        <v>44</v>
      </c>
      <c r="C168" t="s">
        <v>45</v>
      </c>
      <c r="D168">
        <v>0.2</v>
      </c>
    </row>
    <row r="169" spans="1:7" x14ac:dyDescent="0.2">
      <c r="A169" t="s">
        <v>111</v>
      </c>
      <c r="B169" t="s">
        <v>6</v>
      </c>
      <c r="C169" t="s">
        <v>21</v>
      </c>
    </row>
    <row r="170" spans="1:7" x14ac:dyDescent="0.2">
      <c r="B170" t="s">
        <v>7</v>
      </c>
      <c r="C170" t="s">
        <v>21</v>
      </c>
      <c r="D170">
        <v>55.125</v>
      </c>
    </row>
    <row r="171" spans="1:7" x14ac:dyDescent="0.2">
      <c r="B171" t="s">
        <v>8</v>
      </c>
      <c r="C171" t="s">
        <v>22</v>
      </c>
      <c r="D171">
        <v>7.7999999999999996E-3</v>
      </c>
    </row>
    <row r="172" spans="1:7" x14ac:dyDescent="0.2">
      <c r="B172" t="s">
        <v>9</v>
      </c>
      <c r="D172">
        <v>0.69</v>
      </c>
    </row>
    <row r="173" spans="1:7" x14ac:dyDescent="0.2">
      <c r="B173" t="s">
        <v>10</v>
      </c>
      <c r="C173" t="s">
        <v>11</v>
      </c>
      <c r="D173">
        <v>4</v>
      </c>
    </row>
    <row r="174" spans="1:7" x14ac:dyDescent="0.2">
      <c r="B174" t="s">
        <v>68</v>
      </c>
      <c r="C174" t="s">
        <v>45</v>
      </c>
      <c r="D174">
        <f>0.2*0.95</f>
        <v>0.19</v>
      </c>
    </row>
    <row r="175" spans="1:7" x14ac:dyDescent="0.2">
      <c r="B175" t="s">
        <v>44</v>
      </c>
      <c r="C175" t="s">
        <v>45</v>
      </c>
      <c r="D175">
        <f>0.01</f>
        <v>0.01</v>
      </c>
    </row>
    <row r="176" spans="1:7" x14ac:dyDescent="0.2">
      <c r="A176" t="s">
        <v>109</v>
      </c>
      <c r="B176" t="s">
        <v>6</v>
      </c>
      <c r="C176" t="s">
        <v>21</v>
      </c>
      <c r="D176" s="1"/>
    </row>
    <row r="177" spans="1:4" x14ac:dyDescent="0.2">
      <c r="B177" t="s">
        <v>7</v>
      </c>
      <c r="C177" t="s">
        <v>21</v>
      </c>
      <c r="D177">
        <v>39.75</v>
      </c>
    </row>
    <row r="178" spans="1:4" x14ac:dyDescent="0.2">
      <c r="B178" t="s">
        <v>8</v>
      </c>
      <c r="C178" t="s">
        <v>22</v>
      </c>
    </row>
    <row r="179" spans="1:4" x14ac:dyDescent="0.2">
      <c r="B179" t="s">
        <v>9</v>
      </c>
      <c r="D179">
        <v>0.64</v>
      </c>
    </row>
    <row r="180" spans="1:4" x14ac:dyDescent="0.2">
      <c r="B180" t="s">
        <v>10</v>
      </c>
      <c r="C180" t="s">
        <v>11</v>
      </c>
      <c r="D180">
        <v>4</v>
      </c>
    </row>
    <row r="181" spans="1:4" x14ac:dyDescent="0.2">
      <c r="A181" t="s">
        <v>113</v>
      </c>
      <c r="B181" t="s">
        <v>6</v>
      </c>
      <c r="C181" t="s">
        <v>21</v>
      </c>
      <c r="D181">
        <v>70</v>
      </c>
    </row>
    <row r="182" spans="1:4" x14ac:dyDescent="0.2">
      <c r="B182" t="s">
        <v>7</v>
      </c>
      <c r="C182" t="s">
        <v>21</v>
      </c>
      <c r="D182">
        <v>2</v>
      </c>
    </row>
    <row r="183" spans="1:4" x14ac:dyDescent="0.2">
      <c r="B183" t="s">
        <v>8</v>
      </c>
      <c r="C183" t="s">
        <v>22</v>
      </c>
      <c r="D183">
        <v>0</v>
      </c>
    </row>
    <row r="184" spans="1:4" x14ac:dyDescent="0.2">
      <c r="B184" t="s">
        <v>9</v>
      </c>
      <c r="D184">
        <v>0.9</v>
      </c>
    </row>
    <row r="185" spans="1:4" x14ac:dyDescent="0.2">
      <c r="B185" t="s">
        <v>10</v>
      </c>
      <c r="C185" t="s">
        <v>11</v>
      </c>
      <c r="D185">
        <v>20</v>
      </c>
    </row>
    <row r="186" spans="1:4" x14ac:dyDescent="0.2">
      <c r="B186" t="s">
        <v>44</v>
      </c>
      <c r="C186" t="s">
        <v>45</v>
      </c>
      <c r="D186">
        <v>0.2</v>
      </c>
    </row>
    <row r="187" spans="1:4" x14ac:dyDescent="0.2">
      <c r="A187" t="s">
        <v>112</v>
      </c>
      <c r="B187" t="s">
        <v>6</v>
      </c>
      <c r="C187" t="s">
        <v>21</v>
      </c>
      <c r="D187">
        <v>400</v>
      </c>
    </row>
    <row r="188" spans="1:4" x14ac:dyDescent="0.2">
      <c r="B188" t="s">
        <v>7</v>
      </c>
      <c r="C188" t="s">
        <v>21</v>
      </c>
      <c r="D188">
        <v>8</v>
      </c>
    </row>
    <row r="189" spans="1:4" x14ac:dyDescent="0.2">
      <c r="B189" t="s">
        <v>8</v>
      </c>
      <c r="C189" t="s">
        <v>22</v>
      </c>
      <c r="D189">
        <v>0</v>
      </c>
    </row>
    <row r="190" spans="1:4" x14ac:dyDescent="0.2">
      <c r="A190" s="2"/>
      <c r="B190" t="s">
        <v>9</v>
      </c>
      <c r="D190">
        <v>2</v>
      </c>
    </row>
    <row r="191" spans="1:4" x14ac:dyDescent="0.2">
      <c r="B191" t="s">
        <v>10</v>
      </c>
      <c r="C191" t="s">
        <v>11</v>
      </c>
      <c r="D191">
        <v>20</v>
      </c>
    </row>
    <row r="192" spans="1:4" x14ac:dyDescent="0.2">
      <c r="B192" t="s">
        <v>44</v>
      </c>
      <c r="C192" t="s">
        <v>45</v>
      </c>
      <c r="D192">
        <v>0</v>
      </c>
    </row>
    <row r="193" spans="1:4" x14ac:dyDescent="0.2">
      <c r="A193" t="s">
        <v>115</v>
      </c>
      <c r="B193" t="s">
        <v>6</v>
      </c>
      <c r="C193" t="s">
        <v>21</v>
      </c>
    </row>
    <row r="194" spans="1:4" x14ac:dyDescent="0.2">
      <c r="B194" t="s">
        <v>7</v>
      </c>
      <c r="C194" t="s">
        <v>21</v>
      </c>
      <c r="D194">
        <v>2</v>
      </c>
    </row>
    <row r="195" spans="1:4" x14ac:dyDescent="0.2">
      <c r="B195" t="s">
        <v>8</v>
      </c>
      <c r="C195" t="s">
        <v>22</v>
      </c>
    </row>
    <row r="196" spans="1:4" x14ac:dyDescent="0.2">
      <c r="B196" t="s">
        <v>9</v>
      </c>
      <c r="D196">
        <v>0.9</v>
      </c>
    </row>
    <row r="197" spans="1:4" x14ac:dyDescent="0.2">
      <c r="B197" t="s">
        <v>10</v>
      </c>
      <c r="C197" t="s">
        <v>11</v>
      </c>
      <c r="D197">
        <v>4</v>
      </c>
    </row>
    <row r="198" spans="1:4" x14ac:dyDescent="0.2">
      <c r="B198" t="s">
        <v>44</v>
      </c>
      <c r="C198" t="s">
        <v>45</v>
      </c>
      <c r="D198">
        <v>0.2</v>
      </c>
    </row>
    <row r="199" spans="1:4" x14ac:dyDescent="0.2">
      <c r="A199" t="s">
        <v>116</v>
      </c>
      <c r="B199" t="s">
        <v>6</v>
      </c>
      <c r="C199" t="s">
        <v>21</v>
      </c>
    </row>
    <row r="200" spans="1:4" x14ac:dyDescent="0.2">
      <c r="B200" t="s">
        <v>7</v>
      </c>
      <c r="C200" t="s">
        <v>21</v>
      </c>
      <c r="D200">
        <v>8</v>
      </c>
    </row>
    <row r="201" spans="1:4" x14ac:dyDescent="0.2">
      <c r="B201" t="s">
        <v>8</v>
      </c>
      <c r="C201" t="s">
        <v>22</v>
      </c>
    </row>
    <row r="202" spans="1:4" x14ac:dyDescent="0.2">
      <c r="A202" s="2"/>
      <c r="B202" t="s">
        <v>9</v>
      </c>
      <c r="D202">
        <v>2</v>
      </c>
    </row>
    <row r="203" spans="1:4" x14ac:dyDescent="0.2">
      <c r="B203" t="s">
        <v>10</v>
      </c>
      <c r="C203" t="s">
        <v>11</v>
      </c>
      <c r="D203">
        <v>4</v>
      </c>
    </row>
    <row r="204" spans="1:4" x14ac:dyDescent="0.2">
      <c r="B204" t="s">
        <v>44</v>
      </c>
      <c r="C204" t="s">
        <v>45</v>
      </c>
      <c r="D204"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172D-F773-442E-8F80-CF8D21EAB2CE}">
  <dimension ref="A1:H41"/>
  <sheetViews>
    <sheetView tabSelected="1" topLeftCell="A5" workbookViewId="0">
      <selection activeCell="G38" sqref="G38"/>
    </sheetView>
  </sheetViews>
  <sheetFormatPr baseColWidth="10" defaultColWidth="8.83203125" defaultRowHeight="15" x14ac:dyDescent="0.2"/>
  <cols>
    <col min="1" max="1" width="34.83203125" bestFit="1" customWidth="1"/>
    <col min="2" max="2" width="5.33203125" bestFit="1" customWidth="1"/>
    <col min="3" max="3" width="7.5" bestFit="1" customWidth="1"/>
    <col min="4" max="4" width="16.83203125" bestFit="1" customWidth="1"/>
    <col min="5" max="8" width="8.1640625" customWidth="1"/>
  </cols>
  <sheetData>
    <row r="1" spans="1:8" x14ac:dyDescent="0.2">
      <c r="A1" t="s">
        <v>0</v>
      </c>
      <c r="B1" t="s">
        <v>24</v>
      </c>
      <c r="C1" t="s">
        <v>2</v>
      </c>
      <c r="D1" t="s">
        <v>90</v>
      </c>
      <c r="E1">
        <v>2025</v>
      </c>
      <c r="F1">
        <v>2030</v>
      </c>
      <c r="G1">
        <v>2040</v>
      </c>
      <c r="H1">
        <v>2050</v>
      </c>
    </row>
    <row r="2" spans="1:8" x14ac:dyDescent="0.2">
      <c r="A2" t="s">
        <v>3</v>
      </c>
      <c r="B2" t="s">
        <v>91</v>
      </c>
      <c r="C2" t="s">
        <v>92</v>
      </c>
    </row>
    <row r="3" spans="1:8" x14ac:dyDescent="0.2">
      <c r="B3" t="s">
        <v>93</v>
      </c>
      <c r="C3" t="s">
        <v>92</v>
      </c>
    </row>
    <row r="4" spans="1:8" x14ac:dyDescent="0.2">
      <c r="A4" t="s">
        <v>94</v>
      </c>
      <c r="B4" t="s">
        <v>91</v>
      </c>
      <c r="C4" t="s">
        <v>92</v>
      </c>
      <c r="D4">
        <v>0.7</v>
      </c>
      <c r="E4">
        <f>17774.482-E6</f>
        <v>15822.165999999999</v>
      </c>
    </row>
    <row r="5" spans="1:8" x14ac:dyDescent="0.2">
      <c r="B5" t="s">
        <v>93</v>
      </c>
      <c r="C5" t="s">
        <v>92</v>
      </c>
      <c r="D5">
        <v>0.7</v>
      </c>
      <c r="E5">
        <f>17774.482-E7</f>
        <v>15822.165999999999</v>
      </c>
    </row>
    <row r="6" spans="1:8" x14ac:dyDescent="0.2">
      <c r="A6" t="s">
        <v>59</v>
      </c>
      <c r="B6" t="s">
        <v>91</v>
      </c>
      <c r="C6" t="s">
        <v>92</v>
      </c>
      <c r="D6">
        <v>0.7</v>
      </c>
      <c r="E6">
        <f>975.445+188.771+788.1</f>
        <v>1952.3160000000003</v>
      </c>
    </row>
    <row r="7" spans="1:8" x14ac:dyDescent="0.2">
      <c r="B7" t="s">
        <v>93</v>
      </c>
      <c r="C7" t="s">
        <v>92</v>
      </c>
      <c r="D7">
        <v>0.7</v>
      </c>
      <c r="E7">
        <f>975.445+188.771+788.1</f>
        <v>1952.3160000000003</v>
      </c>
    </row>
    <row r="8" spans="1:8" x14ac:dyDescent="0.2">
      <c r="A8" t="s">
        <v>61</v>
      </c>
      <c r="B8" t="s">
        <v>91</v>
      </c>
      <c r="C8" t="s">
        <v>92</v>
      </c>
      <c r="D8">
        <v>0.7</v>
      </c>
      <c r="E8">
        <v>512</v>
      </c>
    </row>
    <row r="9" spans="1:8" x14ac:dyDescent="0.2">
      <c r="B9" t="s">
        <v>93</v>
      </c>
      <c r="C9" t="s">
        <v>92</v>
      </c>
      <c r="D9">
        <v>0.7</v>
      </c>
      <c r="E9">
        <v>512</v>
      </c>
    </row>
    <row r="10" spans="1:8" x14ac:dyDescent="0.2">
      <c r="A10" t="s">
        <v>43</v>
      </c>
      <c r="B10" t="s">
        <v>91</v>
      </c>
      <c r="C10" t="s">
        <v>92</v>
      </c>
      <c r="D10">
        <v>0.7</v>
      </c>
      <c r="E10">
        <v>24771.661</v>
      </c>
    </row>
    <row r="11" spans="1:8" x14ac:dyDescent="0.2">
      <c r="B11" t="s">
        <v>93</v>
      </c>
      <c r="C11" t="s">
        <v>92</v>
      </c>
      <c r="D11">
        <v>0.7</v>
      </c>
      <c r="E11">
        <v>24771.661</v>
      </c>
      <c r="G11" s="1"/>
    </row>
    <row r="12" spans="1:8" x14ac:dyDescent="0.2">
      <c r="A12" t="s">
        <v>53</v>
      </c>
      <c r="B12" t="s">
        <v>91</v>
      </c>
      <c r="C12" t="s">
        <v>92</v>
      </c>
      <c r="D12">
        <v>0.7</v>
      </c>
      <c r="E12">
        <v>6954.8180000000002</v>
      </c>
    </row>
    <row r="13" spans="1:8" x14ac:dyDescent="0.2">
      <c r="B13" t="s">
        <v>93</v>
      </c>
      <c r="C13" t="s">
        <v>92</v>
      </c>
      <c r="D13">
        <v>0.7</v>
      </c>
      <c r="E13">
        <v>6954.8180000000002</v>
      </c>
      <c r="G13" s="1"/>
    </row>
    <row r="14" spans="1:8" x14ac:dyDescent="0.2">
      <c r="A14" t="s">
        <v>54</v>
      </c>
      <c r="B14" t="s">
        <v>91</v>
      </c>
      <c r="C14" t="s">
        <v>92</v>
      </c>
      <c r="D14">
        <v>0.7</v>
      </c>
      <c r="E14">
        <v>4747.5</v>
      </c>
    </row>
    <row r="15" spans="1:8" x14ac:dyDescent="0.2">
      <c r="B15" t="s">
        <v>93</v>
      </c>
      <c r="C15" t="s">
        <v>92</v>
      </c>
      <c r="D15">
        <v>0.7</v>
      </c>
      <c r="E15">
        <v>4747.5</v>
      </c>
    </row>
    <row r="16" spans="1:8" x14ac:dyDescent="0.2">
      <c r="A16" t="s">
        <v>95</v>
      </c>
      <c r="B16" t="s">
        <v>91</v>
      </c>
      <c r="C16" t="s">
        <v>96</v>
      </c>
      <c r="D16">
        <v>4</v>
      </c>
      <c r="E16">
        <v>0.56914399999999998</v>
      </c>
    </row>
    <row r="17" spans="1:7" x14ac:dyDescent="0.2">
      <c r="B17" t="s">
        <v>93</v>
      </c>
      <c r="C17" t="s">
        <v>96</v>
      </c>
      <c r="D17">
        <v>4</v>
      </c>
      <c r="E17">
        <v>1.5691440000000001</v>
      </c>
    </row>
    <row r="18" spans="1:7" x14ac:dyDescent="0.2">
      <c r="A18" t="s">
        <v>18</v>
      </c>
      <c r="B18" t="s">
        <v>91</v>
      </c>
      <c r="C18" t="s">
        <v>96</v>
      </c>
      <c r="D18">
        <v>4</v>
      </c>
    </row>
    <row r="19" spans="1:7" x14ac:dyDescent="0.2">
      <c r="B19" t="s">
        <v>93</v>
      </c>
      <c r="C19" t="s">
        <v>96</v>
      </c>
      <c r="D19">
        <v>4</v>
      </c>
      <c r="G19" s="1"/>
    </row>
    <row r="20" spans="1:7" x14ac:dyDescent="0.2">
      <c r="A20" t="s">
        <v>97</v>
      </c>
      <c r="B20" t="s">
        <v>91</v>
      </c>
      <c r="C20" t="s">
        <v>96</v>
      </c>
      <c r="D20">
        <v>4</v>
      </c>
      <c r="E20">
        <f>9.24781-E17</f>
        <v>7.6786659999999998</v>
      </c>
    </row>
    <row r="21" spans="1:7" x14ac:dyDescent="0.2">
      <c r="B21" t="s">
        <v>93</v>
      </c>
      <c r="C21" t="s">
        <v>96</v>
      </c>
      <c r="D21">
        <v>4</v>
      </c>
      <c r="E21">
        <f>9.24781-E17</f>
        <v>7.6786659999999998</v>
      </c>
    </row>
    <row r="22" spans="1:7" x14ac:dyDescent="0.2">
      <c r="A22" t="s">
        <v>98</v>
      </c>
      <c r="B22" t="s">
        <v>91</v>
      </c>
      <c r="C22" t="s">
        <v>92</v>
      </c>
    </row>
    <row r="23" spans="1:7" x14ac:dyDescent="0.2">
      <c r="B23" t="s">
        <v>93</v>
      </c>
      <c r="C23" t="s">
        <v>92</v>
      </c>
    </row>
    <row r="24" spans="1:7" x14ac:dyDescent="0.2">
      <c r="A24" t="s">
        <v>99</v>
      </c>
      <c r="B24" t="s">
        <v>91</v>
      </c>
      <c r="C24" t="s">
        <v>92</v>
      </c>
    </row>
    <row r="25" spans="1:7" x14ac:dyDescent="0.2">
      <c r="B25" t="s">
        <v>93</v>
      </c>
      <c r="C25" t="s">
        <v>92</v>
      </c>
    </row>
    <row r="26" spans="1:7" x14ac:dyDescent="0.2">
      <c r="A26" t="s">
        <v>85</v>
      </c>
      <c r="B26" t="s">
        <v>91</v>
      </c>
      <c r="C26" t="s">
        <v>92</v>
      </c>
    </row>
    <row r="27" spans="1:7" x14ac:dyDescent="0.2">
      <c r="B27" t="s">
        <v>93</v>
      </c>
      <c r="C27" t="s">
        <v>92</v>
      </c>
    </row>
    <row r="28" spans="1:7" x14ac:dyDescent="0.2">
      <c r="A28" t="s">
        <v>110</v>
      </c>
      <c r="B28" t="s">
        <v>91</v>
      </c>
      <c r="C28" t="s">
        <v>92</v>
      </c>
      <c r="D28">
        <v>0.7</v>
      </c>
      <c r="E28">
        <f>4790+770</f>
        <v>5560</v>
      </c>
    </row>
    <row r="29" spans="1:7" x14ac:dyDescent="0.2">
      <c r="B29" t="s">
        <v>93</v>
      </c>
      <c r="C29" t="s">
        <v>92</v>
      </c>
      <c r="D29">
        <v>0.7</v>
      </c>
      <c r="E29">
        <f>E28</f>
        <v>5560</v>
      </c>
    </row>
    <row r="30" spans="1:7" x14ac:dyDescent="0.2">
      <c r="A30" t="s">
        <v>111</v>
      </c>
      <c r="B30" t="s">
        <v>91</v>
      </c>
      <c r="C30" t="s">
        <v>92</v>
      </c>
      <c r="D30">
        <v>0.7</v>
      </c>
      <c r="E30">
        <v>158</v>
      </c>
    </row>
    <row r="31" spans="1:7" x14ac:dyDescent="0.2">
      <c r="B31" t="s">
        <v>93</v>
      </c>
      <c r="C31" t="s">
        <v>92</v>
      </c>
      <c r="D31">
        <v>0.7</v>
      </c>
      <c r="E31">
        <v>158</v>
      </c>
    </row>
    <row r="32" spans="1:7" x14ac:dyDescent="0.2">
      <c r="A32" t="s">
        <v>109</v>
      </c>
      <c r="B32" t="s">
        <v>91</v>
      </c>
      <c r="C32" t="s">
        <v>92</v>
      </c>
      <c r="D32">
        <v>0.7</v>
      </c>
      <c r="E32">
        <v>4.7</v>
      </c>
    </row>
    <row r="33" spans="1:5" x14ac:dyDescent="0.2">
      <c r="B33" t="s">
        <v>93</v>
      </c>
      <c r="C33" t="s">
        <v>92</v>
      </c>
      <c r="D33">
        <v>0.7</v>
      </c>
      <c r="E33">
        <v>4.7</v>
      </c>
    </row>
    <row r="34" spans="1:5" x14ac:dyDescent="0.2">
      <c r="A34" t="s">
        <v>113</v>
      </c>
      <c r="B34" t="s">
        <v>91</v>
      </c>
      <c r="C34" t="s">
        <v>92</v>
      </c>
      <c r="D34">
        <v>0.7</v>
      </c>
    </row>
    <row r="35" spans="1:5" x14ac:dyDescent="0.2">
      <c r="B35" t="s">
        <v>93</v>
      </c>
      <c r="C35" t="s">
        <v>92</v>
      </c>
      <c r="D35">
        <v>0.7</v>
      </c>
    </row>
    <row r="36" spans="1:5" x14ac:dyDescent="0.2">
      <c r="A36" t="s">
        <v>112</v>
      </c>
      <c r="B36" t="s">
        <v>91</v>
      </c>
      <c r="C36" t="s">
        <v>92</v>
      </c>
      <c r="D36">
        <v>0.7</v>
      </c>
    </row>
    <row r="37" spans="1:5" x14ac:dyDescent="0.2">
      <c r="B37" t="s">
        <v>93</v>
      </c>
      <c r="C37" t="s">
        <v>92</v>
      </c>
      <c r="D37">
        <v>0.7</v>
      </c>
    </row>
    <row r="38" spans="1:5" x14ac:dyDescent="0.2">
      <c r="A38" t="s">
        <v>115</v>
      </c>
      <c r="B38" t="s">
        <v>91</v>
      </c>
      <c r="C38" t="s">
        <v>92</v>
      </c>
      <c r="D38">
        <v>0.7</v>
      </c>
      <c r="E38">
        <v>4200</v>
      </c>
    </row>
    <row r="39" spans="1:5" x14ac:dyDescent="0.2">
      <c r="B39" t="s">
        <v>93</v>
      </c>
      <c r="C39" t="s">
        <v>92</v>
      </c>
      <c r="D39">
        <v>0.7</v>
      </c>
      <c r="E39">
        <v>4200</v>
      </c>
    </row>
    <row r="40" spans="1:5" x14ac:dyDescent="0.2">
      <c r="A40" t="s">
        <v>116</v>
      </c>
      <c r="B40" t="s">
        <v>91</v>
      </c>
      <c r="C40" t="s">
        <v>92</v>
      </c>
      <c r="D40">
        <v>0.7</v>
      </c>
      <c r="E40">
        <v>50</v>
      </c>
    </row>
    <row r="41" spans="1:5" x14ac:dyDescent="0.2">
      <c r="B41" t="s">
        <v>93</v>
      </c>
      <c r="C41" t="s">
        <v>92</v>
      </c>
      <c r="D41">
        <v>0.7</v>
      </c>
      <c r="E41">
        <v>50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Noah Zuijderwijk</cp:lastModifiedBy>
  <dcterms:created xsi:type="dcterms:W3CDTF">2015-06-05T18:17:20Z</dcterms:created>
  <dcterms:modified xsi:type="dcterms:W3CDTF">2026-10-21T16:59:22Z</dcterms:modified>
</cp:coreProperties>
</file>