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097562a34a6728f/Documents/Modelling_transitions/Group_project/Modelling-for-Transitions/P06/input_databases/default_hydrogen/"/>
    </mc:Choice>
  </mc:AlternateContent>
  <xr:revisionPtr revIDLastSave="1458" documentId="11_F25DC773A252ABDACC10484E91D859225ADE58F8" xr6:coauthVersionLast="47" xr6:coauthVersionMax="47" xr10:uidLastSave="{720E6546-EA52-4D7F-BC8E-7306A47F8150}"/>
  <bookViews>
    <workbookView xWindow="11424" yWindow="0" windowWidth="11712" windowHeight="12336" xr2:uid="{00000000-000D-0000-FFFF-FFFF00000000}"/>
  </bookViews>
  <sheets>
    <sheet name="static_parameters" sheetId="2" r:id="rId1"/>
    <sheet name="dynamic_parameters" sheetId="1" r:id="rId2"/>
    <sheet name="capacity_constraints" sheetId="3" r:id="rId3"/>
  </sheets>
  <definedNames>
    <definedName name="_xlnm._FilterDatabase" localSheetId="1" hidden="1">dynamic_parameters!$A$1:$H$31</definedName>
    <definedName name="_xlnm._FilterDatabase" localSheetId="0" hidden="1">static_parameters!$A$1:$F$39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9" i="1" l="1"/>
  <c r="D157" i="1"/>
  <c r="D156" i="1"/>
  <c r="D152" i="1"/>
  <c r="D146" i="1"/>
  <c r="E21" i="3"/>
  <c r="E20" i="3"/>
  <c r="E7" i="3"/>
  <c r="E5" i="3" s="1"/>
  <c r="E6" i="3"/>
  <c r="E4" i="3" s="1"/>
  <c r="D128" i="1"/>
  <c r="G109" i="1"/>
  <c r="D109" i="1"/>
  <c r="G108" i="1"/>
  <c r="D108" i="1"/>
  <c r="G104" i="1"/>
  <c r="D103" i="1"/>
  <c r="D104" i="1" s="1"/>
  <c r="G98" i="1"/>
  <c r="D98" i="1"/>
  <c r="G93" i="1"/>
  <c r="D93" i="1"/>
  <c r="G91" i="1"/>
  <c r="D91" i="1"/>
  <c r="G90" i="1"/>
  <c r="D90" i="1"/>
  <c r="G86" i="1"/>
  <c r="D85" i="1"/>
  <c r="D86" i="1" s="1"/>
  <c r="G80" i="1"/>
  <c r="D80" i="1"/>
  <c r="G75" i="1"/>
  <c r="E75" i="1"/>
  <c r="D75" i="1"/>
  <c r="D69" i="1"/>
  <c r="G67" i="1"/>
  <c r="D67" i="1"/>
  <c r="D66" i="1" s="1"/>
  <c r="G66" i="1"/>
  <c r="D63" i="1"/>
  <c r="D61" i="1"/>
  <c r="D62" i="1" s="1"/>
  <c r="G60" i="1"/>
  <c r="D60" i="1"/>
  <c r="G59" i="1"/>
  <c r="D59" i="1"/>
  <c r="D55" i="1"/>
  <c r="E43" i="1"/>
  <c r="F43" i="1" s="1"/>
  <c r="G43" i="1" s="1"/>
  <c r="E38" i="1"/>
  <c r="F38" i="1" s="1"/>
  <c r="G38" i="1" s="1"/>
  <c r="G29" i="1"/>
  <c r="E29" i="1"/>
  <c r="D29" i="1"/>
  <c r="G15" i="1"/>
  <c r="D14" i="1"/>
  <c r="G14" i="1" s="1"/>
  <c r="G13" i="1"/>
  <c r="D9" i="1"/>
  <c r="D3" i="1"/>
</calcChain>
</file>

<file path=xl/sharedStrings.xml><?xml version="1.0" encoding="utf-8"?>
<sst xmlns="http://schemas.openxmlformats.org/spreadsheetml/2006/main" count="890" uniqueCount="109">
  <si>
    <t>Technology</t>
  </si>
  <si>
    <t>Parameter</t>
  </si>
  <si>
    <t>Unit</t>
  </si>
  <si>
    <t>CCGT</t>
  </si>
  <si>
    <t>Description</t>
  </si>
  <si>
    <t>Combined cycle gas turbine</t>
  </si>
  <si>
    <t>CAPEX</t>
  </si>
  <si>
    <t>FOM</t>
  </si>
  <si>
    <t>VOM</t>
  </si>
  <si>
    <t>Efficiency</t>
  </si>
  <si>
    <t>Lifetime</t>
  </si>
  <si>
    <t>years</t>
  </si>
  <si>
    <t>Utility scale PV</t>
  </si>
  <si>
    <t>Solar</t>
  </si>
  <si>
    <t>Battery</t>
  </si>
  <si>
    <t>Utility scale battery storage</t>
  </si>
  <si>
    <t>Sector</t>
  </si>
  <si>
    <t>Power</t>
  </si>
  <si>
    <t>BEV</t>
  </si>
  <si>
    <t>Transport</t>
  </si>
  <si>
    <t>km/kWh</t>
  </si>
  <si>
    <t>€/kW</t>
  </si>
  <si>
    <t>€/kWh</t>
  </si>
  <si>
    <t>€/car</t>
  </si>
  <si>
    <t>Type</t>
  </si>
  <si>
    <t>Link</t>
  </si>
  <si>
    <t>StorageUnit</t>
  </si>
  <si>
    <t>Value</t>
  </si>
  <si>
    <t>bus0</t>
  </si>
  <si>
    <t>main input</t>
  </si>
  <si>
    <t>Gas supply</t>
  </si>
  <si>
    <t>bus1</t>
  </si>
  <si>
    <t>main output</t>
  </si>
  <si>
    <t>Efficiency_link</t>
  </si>
  <si>
    <t>Electricity</t>
  </si>
  <si>
    <t>Transportation</t>
  </si>
  <si>
    <t>ICE car</t>
  </si>
  <si>
    <t>Gasoline supply</t>
  </si>
  <si>
    <t>Generator</t>
  </si>
  <si>
    <t>Residential</t>
  </si>
  <si>
    <t>Residential Appliance</t>
  </si>
  <si>
    <t>Generic residential appliance (e.g. dishwasher, washing machine, dryer, fridge, etc)</t>
  </si>
  <si>
    <t>Residential electricity</t>
  </si>
  <si>
    <t>Solar PV</t>
  </si>
  <si>
    <t>Emissions</t>
  </si>
  <si>
    <t>tCO2/MWh_th</t>
  </si>
  <si>
    <t>bus2</t>
  </si>
  <si>
    <t>secondary output</t>
  </si>
  <si>
    <t>CO2 atmosphere</t>
  </si>
  <si>
    <t>Long name</t>
  </si>
  <si>
    <t>Passenger car: battery electric vehicle</t>
  </si>
  <si>
    <t>Passenger car: internal combustion engine vehicle</t>
  </si>
  <si>
    <t>Start year</t>
  </si>
  <si>
    <t>Wind turbine - onshore</t>
  </si>
  <si>
    <t>Wind turbine - offshore</t>
  </si>
  <si>
    <t>Generic onshore wind turbine</t>
  </si>
  <si>
    <t>Generic offshore wind turbine</t>
  </si>
  <si>
    <t>Wind onshore</t>
  </si>
  <si>
    <t>Wind offshore</t>
  </si>
  <si>
    <t>Biomass plant</t>
  </si>
  <si>
    <t>Biomass supply</t>
  </si>
  <si>
    <t>Nuclear plant</t>
  </si>
  <si>
    <t>Traditional large-scale nuclear power plant</t>
  </si>
  <si>
    <t>Nuclear supply</t>
  </si>
  <si>
    <t>CCGT CCS</t>
  </si>
  <si>
    <t>Combined cycle gas turbine with CCS</t>
  </si>
  <si>
    <t>bus3</t>
  </si>
  <si>
    <t>tertiary output</t>
  </si>
  <si>
    <t>Captured CO2</t>
  </si>
  <si>
    <t>CO2 storage</t>
  </si>
  <si>
    <t>Biomass plant CCS</t>
  </si>
  <si>
    <t>Biomass + CCS (BECCS), net negative emissions</t>
  </si>
  <si>
    <t>Residential gas boiler</t>
  </si>
  <si>
    <t>Gas boiler to generate space and water heating</t>
  </si>
  <si>
    <t>Residential heat</t>
  </si>
  <si>
    <t>Residential heat pump</t>
  </si>
  <si>
    <t>Air-to-water heat pump to generate space and water heating</t>
  </si>
  <si>
    <t>Industrial machinery - fossil</t>
  </si>
  <si>
    <t>Generic industrial machinery running on fossil energy</t>
  </si>
  <si>
    <t>Industry</t>
  </si>
  <si>
    <t>Industrial machinery</t>
  </si>
  <si>
    <t>Industrial machinery - fossil CCS</t>
  </si>
  <si>
    <t>Generic industrial machinery running on fossil energy + CCS</t>
  </si>
  <si>
    <t>Industrial machinery - electricity</t>
  </si>
  <si>
    <t>Generic industrial machinery running on electricity</t>
  </si>
  <si>
    <t>Industrial HTP - fossil</t>
  </si>
  <si>
    <t>Generic industrial high temperature process running on fossil energy</t>
  </si>
  <si>
    <t>Industrial HTP</t>
  </si>
  <si>
    <t>Industrial HTP - fossil CCS</t>
  </si>
  <si>
    <t>Generic industrial high temperature process running on fossil energy + CCS</t>
  </si>
  <si>
    <t>adjustment factor</t>
  </si>
  <si>
    <t>min</t>
  </si>
  <si>
    <t>MW</t>
  </si>
  <si>
    <t>max</t>
  </si>
  <si>
    <t>CCGT - existing</t>
  </si>
  <si>
    <t>BEV - existing</t>
  </si>
  <si>
    <t>Mkm/h</t>
  </si>
  <si>
    <t>ICE car - existing</t>
  </si>
  <si>
    <t>Industrial machinery - fossil - existing</t>
  </si>
  <si>
    <t>Industrial HTP - fossil - existing</t>
  </si>
  <si>
    <t>Residential gas boiler - existing</t>
  </si>
  <si>
    <t>Generic industrial machinery running on fossil energy - existing base</t>
  </si>
  <si>
    <t>Generic industrial high temperature process running on fossil energy - existing base</t>
  </si>
  <si>
    <t>Steam Methane Reforming</t>
  </si>
  <si>
    <t>Hydrogen</t>
  </si>
  <si>
    <t>SMR with CCS</t>
  </si>
  <si>
    <t>Steam Methane Reforming with Carbon Capture</t>
  </si>
  <si>
    <t>SMR</t>
  </si>
  <si>
    <t>Electrolysis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</si>
</sst>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F3F7-9EA9-4235-9872-78FDC34EDD32}">
  <dimension ref="A1:F167"/>
  <sheetViews>
    <sheetView tabSelected="1" zoomScale="85" zoomScaleNormal="85" workbookViewId="0">
      <pane ySplit="1" topLeftCell="A147" activePane="bottomLeft" state="frozen"/>
      <selection pane="bottomLeft" activeCell="C171" sqref="C171"/>
    </sheetView>
  </sheetViews>
  <sheetFormatPr defaultRowHeight="14.4" x14ac:dyDescent="0.3"/>
  <cols>
    <col min="1" max="1" width="34.88671875" bestFit="1" customWidth="1"/>
    <col min="2" max="2" width="15.44140625" customWidth="1"/>
    <col min="3" max="3" width="25.6640625" bestFit="1" customWidth="1"/>
    <col min="4" max="4" width="15.44140625" customWidth="1"/>
    <col min="5" max="5" width="20.5546875" bestFit="1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33</v>
      </c>
      <c r="E1" t="s">
        <v>27</v>
      </c>
      <c r="F1" t="s">
        <v>2</v>
      </c>
    </row>
    <row r="2" spans="1:6" x14ac:dyDescent="0.3">
      <c r="A2" t="s">
        <v>3</v>
      </c>
      <c r="B2" t="s">
        <v>49</v>
      </c>
      <c r="E2" t="s">
        <v>5</v>
      </c>
    </row>
    <row r="3" spans="1:6" x14ac:dyDescent="0.3">
      <c r="B3" t="s">
        <v>16</v>
      </c>
      <c r="E3" t="s">
        <v>17</v>
      </c>
    </row>
    <row r="4" spans="1:6" x14ac:dyDescent="0.3">
      <c r="B4" t="s">
        <v>24</v>
      </c>
      <c r="E4" t="s">
        <v>25</v>
      </c>
    </row>
    <row r="5" spans="1:6" x14ac:dyDescent="0.3">
      <c r="B5" t="s">
        <v>28</v>
      </c>
      <c r="C5" t="s">
        <v>29</v>
      </c>
      <c r="E5" t="s">
        <v>30</v>
      </c>
    </row>
    <row r="6" spans="1:6" x14ac:dyDescent="0.3">
      <c r="B6" t="s">
        <v>31</v>
      </c>
      <c r="C6" t="s">
        <v>32</v>
      </c>
      <c r="D6" t="s">
        <v>9</v>
      </c>
      <c r="E6" t="s">
        <v>34</v>
      </c>
    </row>
    <row r="7" spans="1:6" x14ac:dyDescent="0.3">
      <c r="B7" t="s">
        <v>46</v>
      </c>
      <c r="C7" t="s">
        <v>47</v>
      </c>
      <c r="D7" t="s">
        <v>44</v>
      </c>
      <c r="E7" t="s">
        <v>48</v>
      </c>
    </row>
    <row r="8" spans="1:6" x14ac:dyDescent="0.3">
      <c r="A8" t="s">
        <v>59</v>
      </c>
      <c r="B8" t="s">
        <v>49</v>
      </c>
      <c r="E8" t="s">
        <v>59</v>
      </c>
    </row>
    <row r="9" spans="1:6" x14ac:dyDescent="0.3">
      <c r="B9" t="s">
        <v>16</v>
      </c>
      <c r="E9" t="s">
        <v>17</v>
      </c>
    </row>
    <row r="10" spans="1:6" x14ac:dyDescent="0.3">
      <c r="B10" t="s">
        <v>24</v>
      </c>
      <c r="E10" t="s">
        <v>25</v>
      </c>
    </row>
    <row r="11" spans="1:6" x14ac:dyDescent="0.3">
      <c r="B11" t="s">
        <v>28</v>
      </c>
      <c r="C11" t="s">
        <v>29</v>
      </c>
      <c r="E11" t="s">
        <v>60</v>
      </c>
    </row>
    <row r="12" spans="1:6" x14ac:dyDescent="0.3">
      <c r="B12" t="s">
        <v>31</v>
      </c>
      <c r="C12" t="s">
        <v>32</v>
      </c>
      <c r="D12" t="s">
        <v>9</v>
      </c>
      <c r="E12" t="s">
        <v>34</v>
      </c>
    </row>
    <row r="13" spans="1:6" x14ac:dyDescent="0.3">
      <c r="A13" t="s">
        <v>61</v>
      </c>
      <c r="B13" t="s">
        <v>49</v>
      </c>
      <c r="E13" t="s">
        <v>62</v>
      </c>
    </row>
    <row r="14" spans="1:6" x14ac:dyDescent="0.3">
      <c r="B14" t="s">
        <v>16</v>
      </c>
      <c r="E14" t="s">
        <v>17</v>
      </c>
    </row>
    <row r="15" spans="1:6" x14ac:dyDescent="0.3">
      <c r="B15" t="s">
        <v>24</v>
      </c>
      <c r="E15" t="s">
        <v>25</v>
      </c>
    </row>
    <row r="16" spans="1:6" x14ac:dyDescent="0.3">
      <c r="B16" t="s">
        <v>28</v>
      </c>
      <c r="C16" t="s">
        <v>29</v>
      </c>
      <c r="E16" t="s">
        <v>63</v>
      </c>
    </row>
    <row r="17" spans="1:5" x14ac:dyDescent="0.3">
      <c r="B17" t="s">
        <v>31</v>
      </c>
      <c r="C17" t="s">
        <v>32</v>
      </c>
      <c r="D17" t="s">
        <v>9</v>
      </c>
      <c r="E17" t="s">
        <v>34</v>
      </c>
    </row>
    <row r="18" spans="1:5" x14ac:dyDescent="0.3">
      <c r="A18" t="s">
        <v>43</v>
      </c>
      <c r="B18" t="s">
        <v>49</v>
      </c>
      <c r="E18" t="s">
        <v>12</v>
      </c>
    </row>
    <row r="19" spans="1:5" x14ac:dyDescent="0.3">
      <c r="B19" t="s">
        <v>16</v>
      </c>
      <c r="E19" t="s">
        <v>17</v>
      </c>
    </row>
    <row r="20" spans="1:5" x14ac:dyDescent="0.3">
      <c r="B20" t="s">
        <v>24</v>
      </c>
      <c r="E20" t="s">
        <v>38</v>
      </c>
    </row>
    <row r="21" spans="1:5" x14ac:dyDescent="0.3">
      <c r="B21" t="s">
        <v>28</v>
      </c>
      <c r="C21" t="s">
        <v>29</v>
      </c>
      <c r="E21" t="s">
        <v>13</v>
      </c>
    </row>
    <row r="22" spans="1:5" x14ac:dyDescent="0.3">
      <c r="B22" t="s">
        <v>31</v>
      </c>
      <c r="C22" t="s">
        <v>32</v>
      </c>
      <c r="D22" t="s">
        <v>9</v>
      </c>
      <c r="E22" t="s">
        <v>34</v>
      </c>
    </row>
    <row r="23" spans="1:5" x14ac:dyDescent="0.3">
      <c r="A23" t="s">
        <v>53</v>
      </c>
      <c r="B23" t="s">
        <v>49</v>
      </c>
      <c r="E23" t="s">
        <v>55</v>
      </c>
    </row>
    <row r="24" spans="1:5" x14ac:dyDescent="0.3">
      <c r="B24" t="s">
        <v>16</v>
      </c>
      <c r="E24" t="s">
        <v>17</v>
      </c>
    </row>
    <row r="25" spans="1:5" x14ac:dyDescent="0.3">
      <c r="B25" t="s">
        <v>24</v>
      </c>
      <c r="E25" t="s">
        <v>38</v>
      </c>
    </row>
    <row r="26" spans="1:5" x14ac:dyDescent="0.3">
      <c r="B26" t="s">
        <v>28</v>
      </c>
      <c r="C26" t="s">
        <v>29</v>
      </c>
      <c r="E26" t="s">
        <v>57</v>
      </c>
    </row>
    <row r="27" spans="1:5" x14ac:dyDescent="0.3">
      <c r="B27" t="s">
        <v>31</v>
      </c>
      <c r="C27" t="s">
        <v>32</v>
      </c>
      <c r="D27" t="s">
        <v>9</v>
      </c>
      <c r="E27" t="s">
        <v>34</v>
      </c>
    </row>
    <row r="28" spans="1:5" x14ac:dyDescent="0.3">
      <c r="A28" t="s">
        <v>54</v>
      </c>
      <c r="B28" t="s">
        <v>49</v>
      </c>
      <c r="E28" t="s">
        <v>56</v>
      </c>
    </row>
    <row r="29" spans="1:5" x14ac:dyDescent="0.3">
      <c r="B29" t="s">
        <v>16</v>
      </c>
      <c r="E29" t="s">
        <v>17</v>
      </c>
    </row>
    <row r="30" spans="1:5" x14ac:dyDescent="0.3">
      <c r="B30" t="s">
        <v>24</v>
      </c>
      <c r="E30" t="s">
        <v>38</v>
      </c>
    </row>
    <row r="31" spans="1:5" x14ac:dyDescent="0.3">
      <c r="B31" t="s">
        <v>28</v>
      </c>
      <c r="C31" t="s">
        <v>29</v>
      </c>
      <c r="E31" t="s">
        <v>58</v>
      </c>
    </row>
    <row r="32" spans="1:5" x14ac:dyDescent="0.3">
      <c r="B32" t="s">
        <v>31</v>
      </c>
      <c r="C32" t="s">
        <v>32</v>
      </c>
      <c r="D32" t="s">
        <v>9</v>
      </c>
      <c r="E32" t="s">
        <v>34</v>
      </c>
    </row>
    <row r="33" spans="1:5" x14ac:dyDescent="0.3">
      <c r="A33" t="s">
        <v>18</v>
      </c>
      <c r="B33" t="s">
        <v>49</v>
      </c>
      <c r="E33" t="s">
        <v>50</v>
      </c>
    </row>
    <row r="34" spans="1:5" x14ac:dyDescent="0.3">
      <c r="B34" t="s">
        <v>16</v>
      </c>
      <c r="E34" t="s">
        <v>19</v>
      </c>
    </row>
    <row r="35" spans="1:5" x14ac:dyDescent="0.3">
      <c r="B35" t="s">
        <v>24</v>
      </c>
      <c r="E35" t="s">
        <v>25</v>
      </c>
    </row>
    <row r="36" spans="1:5" x14ac:dyDescent="0.3">
      <c r="B36" t="s">
        <v>28</v>
      </c>
      <c r="C36" t="s">
        <v>29</v>
      </c>
      <c r="E36" t="s">
        <v>34</v>
      </c>
    </row>
    <row r="37" spans="1:5" x14ac:dyDescent="0.3">
      <c r="B37" t="s">
        <v>31</v>
      </c>
      <c r="C37" t="s">
        <v>32</v>
      </c>
      <c r="D37" t="s">
        <v>9</v>
      </c>
      <c r="E37" t="s">
        <v>35</v>
      </c>
    </row>
    <row r="38" spans="1:5" x14ac:dyDescent="0.3">
      <c r="A38" t="s">
        <v>36</v>
      </c>
      <c r="B38" t="s">
        <v>49</v>
      </c>
      <c r="E38" t="s">
        <v>51</v>
      </c>
    </row>
    <row r="39" spans="1:5" x14ac:dyDescent="0.3">
      <c r="B39" t="s">
        <v>16</v>
      </c>
      <c r="E39" t="s">
        <v>19</v>
      </c>
    </row>
    <row r="40" spans="1:5" x14ac:dyDescent="0.3">
      <c r="B40" t="s">
        <v>24</v>
      </c>
      <c r="E40" t="s">
        <v>25</v>
      </c>
    </row>
    <row r="41" spans="1:5" x14ac:dyDescent="0.3">
      <c r="B41" t="s">
        <v>28</v>
      </c>
      <c r="C41" t="s">
        <v>29</v>
      </c>
      <c r="E41" t="s">
        <v>37</v>
      </c>
    </row>
    <row r="42" spans="1:5" x14ac:dyDescent="0.3">
      <c r="B42" t="s">
        <v>31</v>
      </c>
      <c r="C42" t="s">
        <v>32</v>
      </c>
      <c r="D42" t="s">
        <v>9</v>
      </c>
      <c r="E42" t="s">
        <v>35</v>
      </c>
    </row>
    <row r="43" spans="1:5" x14ac:dyDescent="0.3">
      <c r="B43" t="s">
        <v>46</v>
      </c>
      <c r="C43" t="s">
        <v>47</v>
      </c>
      <c r="D43" t="s">
        <v>44</v>
      </c>
      <c r="E43" t="s">
        <v>48</v>
      </c>
    </row>
    <row r="44" spans="1:5" x14ac:dyDescent="0.3">
      <c r="A44" t="s">
        <v>40</v>
      </c>
      <c r="B44" t="s">
        <v>49</v>
      </c>
      <c r="E44" t="s">
        <v>41</v>
      </c>
    </row>
    <row r="45" spans="1:5" x14ac:dyDescent="0.3">
      <c r="B45" t="s">
        <v>16</v>
      </c>
      <c r="E45" t="s">
        <v>39</v>
      </c>
    </row>
    <row r="46" spans="1:5" x14ac:dyDescent="0.3">
      <c r="B46" t="s">
        <v>24</v>
      </c>
      <c r="E46" t="s">
        <v>25</v>
      </c>
    </row>
    <row r="47" spans="1:5" x14ac:dyDescent="0.3">
      <c r="B47" t="s">
        <v>28</v>
      </c>
      <c r="C47" t="s">
        <v>29</v>
      </c>
      <c r="E47" t="s">
        <v>34</v>
      </c>
    </row>
    <row r="48" spans="1:5" x14ac:dyDescent="0.3">
      <c r="B48" t="s">
        <v>31</v>
      </c>
      <c r="C48" t="s">
        <v>32</v>
      </c>
      <c r="D48" t="s">
        <v>9</v>
      </c>
      <c r="E48" t="s">
        <v>42</v>
      </c>
    </row>
    <row r="49" spans="1:5" x14ac:dyDescent="0.3">
      <c r="A49" t="s">
        <v>14</v>
      </c>
      <c r="B49" t="s">
        <v>49</v>
      </c>
      <c r="E49" t="s">
        <v>15</v>
      </c>
    </row>
    <row r="50" spans="1:5" x14ac:dyDescent="0.3">
      <c r="B50" t="s">
        <v>16</v>
      </c>
      <c r="E50" t="s">
        <v>17</v>
      </c>
    </row>
    <row r="51" spans="1:5" x14ac:dyDescent="0.3">
      <c r="B51" t="s">
        <v>24</v>
      </c>
      <c r="E51" t="s">
        <v>26</v>
      </c>
    </row>
    <row r="52" spans="1:5" x14ac:dyDescent="0.3">
      <c r="B52" t="s">
        <v>28</v>
      </c>
      <c r="C52" t="s">
        <v>29</v>
      </c>
      <c r="E52" t="s">
        <v>34</v>
      </c>
    </row>
    <row r="53" spans="1:5" x14ac:dyDescent="0.3">
      <c r="B53" t="s">
        <v>31</v>
      </c>
      <c r="C53" t="s">
        <v>32</v>
      </c>
      <c r="D53" t="s">
        <v>9</v>
      </c>
      <c r="E53" t="s">
        <v>34</v>
      </c>
    </row>
    <row r="54" spans="1:5" x14ac:dyDescent="0.3">
      <c r="B54" t="s">
        <v>52</v>
      </c>
      <c r="E54">
        <v>2030</v>
      </c>
    </row>
    <row r="55" spans="1:5" x14ac:dyDescent="0.3">
      <c r="A55" t="s">
        <v>64</v>
      </c>
      <c r="B55" t="s">
        <v>49</v>
      </c>
      <c r="E55" t="s">
        <v>65</v>
      </c>
    </row>
    <row r="56" spans="1:5" x14ac:dyDescent="0.3">
      <c r="B56" t="s">
        <v>16</v>
      </c>
      <c r="E56" t="s">
        <v>17</v>
      </c>
    </row>
    <row r="57" spans="1:5" x14ac:dyDescent="0.3">
      <c r="B57" t="s">
        <v>24</v>
      </c>
      <c r="E57" t="s">
        <v>25</v>
      </c>
    </row>
    <row r="58" spans="1:5" x14ac:dyDescent="0.3">
      <c r="B58" t="s">
        <v>28</v>
      </c>
      <c r="C58" t="s">
        <v>29</v>
      </c>
      <c r="E58" t="s">
        <v>30</v>
      </c>
    </row>
    <row r="59" spans="1:5" x14ac:dyDescent="0.3">
      <c r="B59" t="s">
        <v>31</v>
      </c>
      <c r="C59" t="s">
        <v>32</v>
      </c>
      <c r="D59" t="s">
        <v>9</v>
      </c>
      <c r="E59" t="s">
        <v>34</v>
      </c>
    </row>
    <row r="60" spans="1:5" x14ac:dyDescent="0.3">
      <c r="B60" t="s">
        <v>46</v>
      </c>
      <c r="C60" t="s">
        <v>47</v>
      </c>
      <c r="D60" t="s">
        <v>44</v>
      </c>
      <c r="E60" t="s">
        <v>48</v>
      </c>
    </row>
    <row r="61" spans="1:5" x14ac:dyDescent="0.3">
      <c r="B61" t="s">
        <v>66</v>
      </c>
      <c r="C61" t="s">
        <v>67</v>
      </c>
      <c r="D61" t="s">
        <v>68</v>
      </c>
      <c r="E61" t="s">
        <v>69</v>
      </c>
    </row>
    <row r="62" spans="1:5" x14ac:dyDescent="0.3">
      <c r="B62" t="s">
        <v>52</v>
      </c>
      <c r="E62">
        <v>2030</v>
      </c>
    </row>
    <row r="63" spans="1:5" x14ac:dyDescent="0.3">
      <c r="A63" t="s">
        <v>70</v>
      </c>
      <c r="B63" t="s">
        <v>49</v>
      </c>
      <c r="E63" t="s">
        <v>71</v>
      </c>
    </row>
    <row r="64" spans="1:5" x14ac:dyDescent="0.3">
      <c r="B64" t="s">
        <v>16</v>
      </c>
      <c r="E64" t="s">
        <v>17</v>
      </c>
    </row>
    <row r="65" spans="1:5" x14ac:dyDescent="0.3">
      <c r="B65" t="s">
        <v>24</v>
      </c>
      <c r="E65" t="s">
        <v>25</v>
      </c>
    </row>
    <row r="66" spans="1:5" x14ac:dyDescent="0.3">
      <c r="B66" t="s">
        <v>28</v>
      </c>
      <c r="C66" t="s">
        <v>29</v>
      </c>
      <c r="E66" t="s">
        <v>60</v>
      </c>
    </row>
    <row r="67" spans="1:5" x14ac:dyDescent="0.3">
      <c r="B67" t="s">
        <v>31</v>
      </c>
      <c r="C67" t="s">
        <v>32</v>
      </c>
      <c r="D67" t="s">
        <v>9</v>
      </c>
      <c r="E67" t="s">
        <v>34</v>
      </c>
    </row>
    <row r="68" spans="1:5" x14ac:dyDescent="0.3">
      <c r="B68" t="s">
        <v>46</v>
      </c>
      <c r="C68" t="s">
        <v>47</v>
      </c>
      <c r="D68" t="s">
        <v>44</v>
      </c>
      <c r="E68" t="s">
        <v>48</v>
      </c>
    </row>
    <row r="69" spans="1:5" x14ac:dyDescent="0.3">
      <c r="B69" t="s">
        <v>66</v>
      </c>
      <c r="C69" t="s">
        <v>67</v>
      </c>
      <c r="D69" t="s">
        <v>68</v>
      </c>
      <c r="E69" t="s">
        <v>69</v>
      </c>
    </row>
    <row r="70" spans="1:5" x14ac:dyDescent="0.3">
      <c r="B70" t="s">
        <v>52</v>
      </c>
      <c r="E70">
        <v>2030</v>
      </c>
    </row>
    <row r="71" spans="1:5" x14ac:dyDescent="0.3">
      <c r="A71" t="s">
        <v>72</v>
      </c>
      <c r="B71" t="s">
        <v>49</v>
      </c>
      <c r="E71" t="s">
        <v>73</v>
      </c>
    </row>
    <row r="72" spans="1:5" x14ac:dyDescent="0.3">
      <c r="B72" t="s">
        <v>16</v>
      </c>
      <c r="E72" t="s">
        <v>39</v>
      </c>
    </row>
    <row r="73" spans="1:5" x14ac:dyDescent="0.3">
      <c r="B73" t="s">
        <v>24</v>
      </c>
      <c r="E73" t="s">
        <v>25</v>
      </c>
    </row>
    <row r="74" spans="1:5" x14ac:dyDescent="0.3">
      <c r="B74" t="s">
        <v>28</v>
      </c>
      <c r="C74" t="s">
        <v>29</v>
      </c>
      <c r="E74" t="s">
        <v>30</v>
      </c>
    </row>
    <row r="75" spans="1:5" x14ac:dyDescent="0.3">
      <c r="B75" t="s">
        <v>31</v>
      </c>
      <c r="C75" t="s">
        <v>32</v>
      </c>
      <c r="D75" t="s">
        <v>9</v>
      </c>
      <c r="E75" t="s">
        <v>74</v>
      </c>
    </row>
    <row r="76" spans="1:5" x14ac:dyDescent="0.3">
      <c r="B76" t="s">
        <v>46</v>
      </c>
      <c r="C76" t="s">
        <v>47</v>
      </c>
      <c r="D76" t="s">
        <v>44</v>
      </c>
      <c r="E76" t="s">
        <v>48</v>
      </c>
    </row>
    <row r="77" spans="1:5" x14ac:dyDescent="0.3">
      <c r="A77" t="s">
        <v>75</v>
      </c>
      <c r="B77" t="s">
        <v>49</v>
      </c>
      <c r="E77" t="s">
        <v>76</v>
      </c>
    </row>
    <row r="78" spans="1:5" x14ac:dyDescent="0.3">
      <c r="B78" t="s">
        <v>16</v>
      </c>
      <c r="E78" t="s">
        <v>39</v>
      </c>
    </row>
    <row r="79" spans="1:5" x14ac:dyDescent="0.3">
      <c r="B79" t="s">
        <v>24</v>
      </c>
      <c r="E79" t="s">
        <v>25</v>
      </c>
    </row>
    <row r="80" spans="1:5" x14ac:dyDescent="0.3">
      <c r="B80" t="s">
        <v>28</v>
      </c>
      <c r="C80" t="s">
        <v>29</v>
      </c>
      <c r="E80" t="s">
        <v>34</v>
      </c>
    </row>
    <row r="81" spans="1:5" x14ac:dyDescent="0.3">
      <c r="B81" t="s">
        <v>31</v>
      </c>
      <c r="C81" t="s">
        <v>32</v>
      </c>
      <c r="D81" t="s">
        <v>9</v>
      </c>
      <c r="E81" t="s">
        <v>74</v>
      </c>
    </row>
    <row r="82" spans="1:5" x14ac:dyDescent="0.3">
      <c r="A82" t="s">
        <v>77</v>
      </c>
      <c r="B82" t="s">
        <v>49</v>
      </c>
      <c r="E82" t="s">
        <v>78</v>
      </c>
    </row>
    <row r="83" spans="1:5" x14ac:dyDescent="0.3">
      <c r="B83" t="s">
        <v>16</v>
      </c>
      <c r="E83" t="s">
        <v>79</v>
      </c>
    </row>
    <row r="84" spans="1:5" x14ac:dyDescent="0.3">
      <c r="B84" t="s">
        <v>24</v>
      </c>
      <c r="E84" t="s">
        <v>25</v>
      </c>
    </row>
    <row r="85" spans="1:5" x14ac:dyDescent="0.3">
      <c r="B85" t="s">
        <v>28</v>
      </c>
      <c r="C85" t="s">
        <v>29</v>
      </c>
      <c r="E85" t="s">
        <v>30</v>
      </c>
    </row>
    <row r="86" spans="1:5" x14ac:dyDescent="0.3">
      <c r="B86" t="s">
        <v>31</v>
      </c>
      <c r="C86" t="s">
        <v>32</v>
      </c>
      <c r="D86" t="s">
        <v>9</v>
      </c>
      <c r="E86" t="s">
        <v>80</v>
      </c>
    </row>
    <row r="87" spans="1:5" x14ac:dyDescent="0.3">
      <c r="B87" t="s">
        <v>46</v>
      </c>
      <c r="C87" t="s">
        <v>47</v>
      </c>
      <c r="D87" t="s">
        <v>44</v>
      </c>
      <c r="E87" t="s">
        <v>48</v>
      </c>
    </row>
    <row r="88" spans="1:5" x14ac:dyDescent="0.3">
      <c r="A88" t="s">
        <v>81</v>
      </c>
      <c r="B88" t="s">
        <v>49</v>
      </c>
      <c r="E88" t="s">
        <v>82</v>
      </c>
    </row>
    <row r="89" spans="1:5" x14ac:dyDescent="0.3">
      <c r="B89" t="s">
        <v>16</v>
      </c>
      <c r="E89" t="s">
        <v>79</v>
      </c>
    </row>
    <row r="90" spans="1:5" x14ac:dyDescent="0.3">
      <c r="B90" t="s">
        <v>24</v>
      </c>
      <c r="E90" t="s">
        <v>25</v>
      </c>
    </row>
    <row r="91" spans="1:5" x14ac:dyDescent="0.3">
      <c r="B91" t="s">
        <v>28</v>
      </c>
      <c r="C91" t="s">
        <v>29</v>
      </c>
      <c r="E91" t="s">
        <v>30</v>
      </c>
    </row>
    <row r="92" spans="1:5" x14ac:dyDescent="0.3">
      <c r="B92" t="s">
        <v>31</v>
      </c>
      <c r="C92" t="s">
        <v>32</v>
      </c>
      <c r="D92" t="s">
        <v>9</v>
      </c>
      <c r="E92" t="s">
        <v>80</v>
      </c>
    </row>
    <row r="93" spans="1:5" x14ac:dyDescent="0.3">
      <c r="B93" t="s">
        <v>46</v>
      </c>
      <c r="C93" t="s">
        <v>47</v>
      </c>
      <c r="D93" t="s">
        <v>44</v>
      </c>
      <c r="E93" t="s">
        <v>48</v>
      </c>
    </row>
    <row r="94" spans="1:5" x14ac:dyDescent="0.3">
      <c r="B94" t="s">
        <v>66</v>
      </c>
      <c r="C94" t="s">
        <v>67</v>
      </c>
      <c r="D94" t="s">
        <v>68</v>
      </c>
      <c r="E94" t="s">
        <v>69</v>
      </c>
    </row>
    <row r="95" spans="1:5" x14ac:dyDescent="0.3">
      <c r="B95" t="s">
        <v>52</v>
      </c>
      <c r="E95">
        <v>2030</v>
      </c>
    </row>
    <row r="96" spans="1:5" x14ac:dyDescent="0.3">
      <c r="A96" t="s">
        <v>83</v>
      </c>
      <c r="B96" t="s">
        <v>49</v>
      </c>
      <c r="E96" t="s">
        <v>84</v>
      </c>
    </row>
    <row r="97" spans="1:5" x14ac:dyDescent="0.3">
      <c r="B97" t="s">
        <v>16</v>
      </c>
      <c r="E97" t="s">
        <v>79</v>
      </c>
    </row>
    <row r="98" spans="1:5" x14ac:dyDescent="0.3">
      <c r="B98" t="s">
        <v>24</v>
      </c>
      <c r="E98" t="s">
        <v>25</v>
      </c>
    </row>
    <row r="99" spans="1:5" x14ac:dyDescent="0.3">
      <c r="B99" t="s">
        <v>28</v>
      </c>
      <c r="C99" t="s">
        <v>29</v>
      </c>
      <c r="E99" t="s">
        <v>34</v>
      </c>
    </row>
    <row r="100" spans="1:5" x14ac:dyDescent="0.3">
      <c r="B100" t="s">
        <v>31</v>
      </c>
      <c r="C100" t="s">
        <v>32</v>
      </c>
      <c r="D100" t="s">
        <v>9</v>
      </c>
      <c r="E100" t="s">
        <v>80</v>
      </c>
    </row>
    <row r="101" spans="1:5" x14ac:dyDescent="0.3">
      <c r="A101" t="s">
        <v>85</v>
      </c>
      <c r="B101" t="s">
        <v>49</v>
      </c>
      <c r="E101" t="s">
        <v>86</v>
      </c>
    </row>
    <row r="102" spans="1:5" x14ac:dyDescent="0.3">
      <c r="B102" t="s">
        <v>16</v>
      </c>
      <c r="E102" t="s">
        <v>79</v>
      </c>
    </row>
    <row r="103" spans="1:5" x14ac:dyDescent="0.3">
      <c r="B103" t="s">
        <v>24</v>
      </c>
      <c r="E103" t="s">
        <v>25</v>
      </c>
    </row>
    <row r="104" spans="1:5" x14ac:dyDescent="0.3">
      <c r="B104" t="s">
        <v>28</v>
      </c>
      <c r="C104" t="s">
        <v>29</v>
      </c>
      <c r="E104" t="s">
        <v>30</v>
      </c>
    </row>
    <row r="105" spans="1:5" x14ac:dyDescent="0.3">
      <c r="B105" t="s">
        <v>31</v>
      </c>
      <c r="C105" t="s">
        <v>32</v>
      </c>
      <c r="D105" t="s">
        <v>9</v>
      </c>
      <c r="E105" t="s">
        <v>87</v>
      </c>
    </row>
    <row r="106" spans="1:5" x14ac:dyDescent="0.3">
      <c r="B106" t="s">
        <v>46</v>
      </c>
      <c r="C106" t="s">
        <v>47</v>
      </c>
      <c r="D106" t="s">
        <v>44</v>
      </c>
      <c r="E106" t="s">
        <v>48</v>
      </c>
    </row>
    <row r="107" spans="1:5" x14ac:dyDescent="0.3">
      <c r="A107" t="s">
        <v>88</v>
      </c>
      <c r="B107" t="s">
        <v>49</v>
      </c>
      <c r="E107" t="s">
        <v>89</v>
      </c>
    </row>
    <row r="108" spans="1:5" x14ac:dyDescent="0.3">
      <c r="B108" t="s">
        <v>16</v>
      </c>
      <c r="E108" t="s">
        <v>79</v>
      </c>
    </row>
    <row r="109" spans="1:5" x14ac:dyDescent="0.3">
      <c r="B109" t="s">
        <v>24</v>
      </c>
      <c r="E109" t="s">
        <v>25</v>
      </c>
    </row>
    <row r="110" spans="1:5" x14ac:dyDescent="0.3">
      <c r="B110" t="s">
        <v>28</v>
      </c>
      <c r="C110" t="s">
        <v>29</v>
      </c>
      <c r="E110" t="s">
        <v>30</v>
      </c>
    </row>
    <row r="111" spans="1:5" x14ac:dyDescent="0.3">
      <c r="B111" t="s">
        <v>31</v>
      </c>
      <c r="C111" t="s">
        <v>32</v>
      </c>
      <c r="D111" t="s">
        <v>9</v>
      </c>
      <c r="E111" t="s">
        <v>87</v>
      </c>
    </row>
    <row r="112" spans="1:5" x14ac:dyDescent="0.3">
      <c r="B112" t="s">
        <v>46</v>
      </c>
      <c r="C112" t="s">
        <v>47</v>
      </c>
      <c r="D112" t="s">
        <v>44</v>
      </c>
      <c r="E112" t="s">
        <v>48</v>
      </c>
    </row>
    <row r="113" spans="1:5" x14ac:dyDescent="0.3">
      <c r="B113" t="s">
        <v>66</v>
      </c>
      <c r="C113" t="s">
        <v>67</v>
      </c>
      <c r="D113" t="s">
        <v>68</v>
      </c>
      <c r="E113" t="s">
        <v>69</v>
      </c>
    </row>
    <row r="114" spans="1:5" x14ac:dyDescent="0.3">
      <c r="B114" t="s">
        <v>52</v>
      </c>
      <c r="E114">
        <v>2030</v>
      </c>
    </row>
    <row r="115" spans="1:5" x14ac:dyDescent="0.3">
      <c r="A115" t="s">
        <v>95</v>
      </c>
      <c r="B115" t="s">
        <v>49</v>
      </c>
      <c r="E115" t="s">
        <v>50</v>
      </c>
    </row>
    <row r="116" spans="1:5" x14ac:dyDescent="0.3">
      <c r="B116" t="s">
        <v>16</v>
      </c>
      <c r="E116" t="s">
        <v>19</v>
      </c>
    </row>
    <row r="117" spans="1:5" x14ac:dyDescent="0.3">
      <c r="B117" t="s">
        <v>24</v>
      </c>
      <c r="E117" t="s">
        <v>25</v>
      </c>
    </row>
    <row r="118" spans="1:5" x14ac:dyDescent="0.3">
      <c r="B118" t="s">
        <v>28</v>
      </c>
      <c r="C118" t="s">
        <v>29</v>
      </c>
      <c r="E118" t="s">
        <v>34</v>
      </c>
    </row>
    <row r="119" spans="1:5" x14ac:dyDescent="0.3">
      <c r="B119" t="s">
        <v>31</v>
      </c>
      <c r="C119" t="s">
        <v>32</v>
      </c>
      <c r="D119" t="s">
        <v>9</v>
      </c>
      <c r="E119" t="s">
        <v>35</v>
      </c>
    </row>
    <row r="120" spans="1:5" x14ac:dyDescent="0.3">
      <c r="A120" t="s">
        <v>97</v>
      </c>
      <c r="B120" t="s">
        <v>49</v>
      </c>
      <c r="E120" t="s">
        <v>51</v>
      </c>
    </row>
    <row r="121" spans="1:5" x14ac:dyDescent="0.3">
      <c r="B121" t="s">
        <v>16</v>
      </c>
      <c r="E121" t="s">
        <v>19</v>
      </c>
    </row>
    <row r="122" spans="1:5" x14ac:dyDescent="0.3">
      <c r="B122" t="s">
        <v>24</v>
      </c>
      <c r="E122" t="s">
        <v>25</v>
      </c>
    </row>
    <row r="123" spans="1:5" x14ac:dyDescent="0.3">
      <c r="B123" t="s">
        <v>28</v>
      </c>
      <c r="C123" t="s">
        <v>29</v>
      </c>
      <c r="E123" t="s">
        <v>37</v>
      </c>
    </row>
    <row r="124" spans="1:5" x14ac:dyDescent="0.3">
      <c r="B124" t="s">
        <v>31</v>
      </c>
      <c r="C124" t="s">
        <v>32</v>
      </c>
      <c r="D124" t="s">
        <v>9</v>
      </c>
      <c r="E124" t="s">
        <v>35</v>
      </c>
    </row>
    <row r="125" spans="1:5" x14ac:dyDescent="0.3">
      <c r="B125" t="s">
        <v>46</v>
      </c>
      <c r="C125" t="s">
        <v>47</v>
      </c>
      <c r="D125" t="s">
        <v>44</v>
      </c>
      <c r="E125" t="s">
        <v>48</v>
      </c>
    </row>
    <row r="126" spans="1:5" x14ac:dyDescent="0.3">
      <c r="A126" t="s">
        <v>94</v>
      </c>
      <c r="B126" t="s">
        <v>49</v>
      </c>
      <c r="E126" t="s">
        <v>5</v>
      </c>
    </row>
    <row r="127" spans="1:5" x14ac:dyDescent="0.3">
      <c r="B127" t="s">
        <v>16</v>
      </c>
      <c r="E127" t="s">
        <v>17</v>
      </c>
    </row>
    <row r="128" spans="1:5" x14ac:dyDescent="0.3">
      <c r="B128" t="s">
        <v>24</v>
      </c>
      <c r="E128" t="s">
        <v>25</v>
      </c>
    </row>
    <row r="129" spans="1:5" x14ac:dyDescent="0.3">
      <c r="B129" t="s">
        <v>28</v>
      </c>
      <c r="C129" t="s">
        <v>29</v>
      </c>
      <c r="E129" t="s">
        <v>30</v>
      </c>
    </row>
    <row r="130" spans="1:5" x14ac:dyDescent="0.3">
      <c r="B130" t="s">
        <v>31</v>
      </c>
      <c r="C130" t="s">
        <v>32</v>
      </c>
      <c r="D130" t="s">
        <v>9</v>
      </c>
      <c r="E130" t="s">
        <v>34</v>
      </c>
    </row>
    <row r="131" spans="1:5" x14ac:dyDescent="0.3">
      <c r="B131" t="s">
        <v>46</v>
      </c>
      <c r="C131" t="s">
        <v>47</v>
      </c>
      <c r="D131" t="s">
        <v>44</v>
      </c>
      <c r="E131" t="s">
        <v>48</v>
      </c>
    </row>
    <row r="132" spans="1:5" x14ac:dyDescent="0.3">
      <c r="A132" t="s">
        <v>100</v>
      </c>
      <c r="B132" t="s">
        <v>49</v>
      </c>
      <c r="E132" t="s">
        <v>73</v>
      </c>
    </row>
    <row r="133" spans="1:5" x14ac:dyDescent="0.3">
      <c r="B133" t="s">
        <v>16</v>
      </c>
      <c r="E133" t="s">
        <v>39</v>
      </c>
    </row>
    <row r="134" spans="1:5" x14ac:dyDescent="0.3">
      <c r="B134" t="s">
        <v>24</v>
      </c>
      <c r="E134" t="s">
        <v>25</v>
      </c>
    </row>
    <row r="135" spans="1:5" x14ac:dyDescent="0.3">
      <c r="B135" t="s">
        <v>28</v>
      </c>
      <c r="C135" t="s">
        <v>29</v>
      </c>
      <c r="E135" t="s">
        <v>30</v>
      </c>
    </row>
    <row r="136" spans="1:5" x14ac:dyDescent="0.3">
      <c r="B136" t="s">
        <v>31</v>
      </c>
      <c r="C136" t="s">
        <v>32</v>
      </c>
      <c r="D136" t="s">
        <v>9</v>
      </c>
      <c r="E136" t="s">
        <v>74</v>
      </c>
    </row>
    <row r="137" spans="1:5" x14ac:dyDescent="0.3">
      <c r="B137" t="s">
        <v>46</v>
      </c>
      <c r="C137" t="s">
        <v>47</v>
      </c>
      <c r="D137" t="s">
        <v>44</v>
      </c>
      <c r="E137" t="s">
        <v>48</v>
      </c>
    </row>
    <row r="138" spans="1:5" x14ac:dyDescent="0.3">
      <c r="A138" t="s">
        <v>98</v>
      </c>
      <c r="B138" t="s">
        <v>49</v>
      </c>
      <c r="E138" t="s">
        <v>101</v>
      </c>
    </row>
    <row r="139" spans="1:5" x14ac:dyDescent="0.3">
      <c r="B139" t="s">
        <v>16</v>
      </c>
      <c r="E139" t="s">
        <v>79</v>
      </c>
    </row>
    <row r="140" spans="1:5" x14ac:dyDescent="0.3">
      <c r="B140" t="s">
        <v>24</v>
      </c>
      <c r="E140" t="s">
        <v>25</v>
      </c>
    </row>
    <row r="141" spans="1:5" x14ac:dyDescent="0.3">
      <c r="B141" t="s">
        <v>28</v>
      </c>
      <c r="C141" t="s">
        <v>29</v>
      </c>
      <c r="E141" t="s">
        <v>30</v>
      </c>
    </row>
    <row r="142" spans="1:5" x14ac:dyDescent="0.3">
      <c r="B142" t="s">
        <v>31</v>
      </c>
      <c r="C142" t="s">
        <v>32</v>
      </c>
      <c r="D142" t="s">
        <v>9</v>
      </c>
      <c r="E142" t="s">
        <v>80</v>
      </c>
    </row>
    <row r="143" spans="1:5" x14ac:dyDescent="0.3">
      <c r="B143" t="s">
        <v>46</v>
      </c>
      <c r="C143" t="s">
        <v>47</v>
      </c>
      <c r="D143" t="s">
        <v>44</v>
      </c>
      <c r="E143" t="s">
        <v>48</v>
      </c>
    </row>
    <row r="144" spans="1:5" x14ac:dyDescent="0.3">
      <c r="A144" t="s">
        <v>99</v>
      </c>
      <c r="B144" t="s">
        <v>49</v>
      </c>
      <c r="E144" t="s">
        <v>102</v>
      </c>
    </row>
    <row r="145" spans="1:5" x14ac:dyDescent="0.3">
      <c r="B145" t="s">
        <v>16</v>
      </c>
      <c r="E145" t="s">
        <v>79</v>
      </c>
    </row>
    <row r="146" spans="1:5" x14ac:dyDescent="0.3">
      <c r="B146" t="s">
        <v>24</v>
      </c>
      <c r="E146" t="s">
        <v>25</v>
      </c>
    </row>
    <row r="147" spans="1:5" x14ac:dyDescent="0.3">
      <c r="B147" t="s">
        <v>28</v>
      </c>
      <c r="C147" t="s">
        <v>29</v>
      </c>
      <c r="E147" t="s">
        <v>30</v>
      </c>
    </row>
    <row r="148" spans="1:5" x14ac:dyDescent="0.3">
      <c r="B148" t="s">
        <v>31</v>
      </c>
      <c r="C148" t="s">
        <v>32</v>
      </c>
      <c r="D148" t="s">
        <v>9</v>
      </c>
      <c r="E148" t="s">
        <v>87</v>
      </c>
    </row>
    <row r="149" spans="1:5" x14ac:dyDescent="0.3">
      <c r="B149" t="s">
        <v>46</v>
      </c>
      <c r="C149" t="s">
        <v>47</v>
      </c>
      <c r="D149" t="s">
        <v>44</v>
      </c>
      <c r="E149" t="s">
        <v>48</v>
      </c>
    </row>
    <row r="150" spans="1:5" x14ac:dyDescent="0.3">
      <c r="A150" t="s">
        <v>107</v>
      </c>
      <c r="B150" t="s">
        <v>49</v>
      </c>
      <c r="E150" t="s">
        <v>103</v>
      </c>
    </row>
    <row r="151" spans="1:5" x14ac:dyDescent="0.3">
      <c r="B151" t="s">
        <v>16</v>
      </c>
      <c r="E151" t="s">
        <v>79</v>
      </c>
    </row>
    <row r="152" spans="1:5" x14ac:dyDescent="0.3">
      <c r="B152" t="s">
        <v>24</v>
      </c>
      <c r="E152" t="s">
        <v>25</v>
      </c>
    </row>
    <row r="153" spans="1:5" x14ac:dyDescent="0.3">
      <c r="B153" t="s">
        <v>28</v>
      </c>
      <c r="C153" t="s">
        <v>29</v>
      </c>
      <c r="E153" t="s">
        <v>30</v>
      </c>
    </row>
    <row r="154" spans="1:5" x14ac:dyDescent="0.3">
      <c r="B154" t="s">
        <v>31</v>
      </c>
      <c r="C154" t="s">
        <v>32</v>
      </c>
      <c r="D154" t="s">
        <v>9</v>
      </c>
      <c r="E154" t="s">
        <v>104</v>
      </c>
    </row>
    <row r="155" spans="1:5" x14ac:dyDescent="0.3">
      <c r="B155" t="s">
        <v>46</v>
      </c>
      <c r="C155" t="s">
        <v>47</v>
      </c>
      <c r="D155" t="s">
        <v>44</v>
      </c>
      <c r="E155" t="s">
        <v>48</v>
      </c>
    </row>
    <row r="156" spans="1:5" x14ac:dyDescent="0.3">
      <c r="A156" t="s">
        <v>105</v>
      </c>
      <c r="B156" t="s">
        <v>49</v>
      </c>
      <c r="E156" t="s">
        <v>106</v>
      </c>
    </row>
    <row r="157" spans="1:5" x14ac:dyDescent="0.3">
      <c r="B157" t="s">
        <v>16</v>
      </c>
      <c r="E157" t="s">
        <v>79</v>
      </c>
    </row>
    <row r="158" spans="1:5" x14ac:dyDescent="0.3">
      <c r="B158" t="s">
        <v>24</v>
      </c>
      <c r="E158" t="s">
        <v>25</v>
      </c>
    </row>
    <row r="159" spans="1:5" x14ac:dyDescent="0.3">
      <c r="B159" t="s">
        <v>28</v>
      </c>
      <c r="C159" t="s">
        <v>29</v>
      </c>
      <c r="E159" t="s">
        <v>30</v>
      </c>
    </row>
    <row r="160" spans="1:5" x14ac:dyDescent="0.3">
      <c r="B160" t="s">
        <v>31</v>
      </c>
      <c r="C160" t="s">
        <v>32</v>
      </c>
      <c r="D160" t="s">
        <v>9</v>
      </c>
      <c r="E160" t="s">
        <v>104</v>
      </c>
    </row>
    <row r="161" spans="1:5" x14ac:dyDescent="0.3">
      <c r="B161" t="s">
        <v>46</v>
      </c>
      <c r="C161" t="s">
        <v>47</v>
      </c>
      <c r="D161" t="s">
        <v>44</v>
      </c>
      <c r="E161" t="s">
        <v>48</v>
      </c>
    </row>
    <row r="162" spans="1:5" x14ac:dyDescent="0.3">
      <c r="B162" t="s">
        <v>66</v>
      </c>
      <c r="C162" t="s">
        <v>67</v>
      </c>
      <c r="D162" t="s">
        <v>68</v>
      </c>
      <c r="E162" t="s">
        <v>69</v>
      </c>
    </row>
    <row r="163" spans="1:5" x14ac:dyDescent="0.3">
      <c r="A163" t="s">
        <v>108</v>
      </c>
      <c r="B163" t="s">
        <v>49</v>
      </c>
      <c r="E163" t="s">
        <v>108</v>
      </c>
    </row>
    <row r="164" spans="1:5" x14ac:dyDescent="0.3">
      <c r="B164" t="s">
        <v>16</v>
      </c>
      <c r="E164" t="s">
        <v>79</v>
      </c>
    </row>
    <row r="165" spans="1:5" x14ac:dyDescent="0.3">
      <c r="B165" t="s">
        <v>24</v>
      </c>
      <c r="E165" t="s">
        <v>25</v>
      </c>
    </row>
    <row r="166" spans="1:5" x14ac:dyDescent="0.3">
      <c r="B166" t="s">
        <v>28</v>
      </c>
      <c r="C166" t="s">
        <v>29</v>
      </c>
      <c r="E166" t="s">
        <v>34</v>
      </c>
    </row>
    <row r="167" spans="1:5" x14ac:dyDescent="0.3">
      <c r="B167" t="s">
        <v>31</v>
      </c>
      <c r="C167" t="s">
        <v>32</v>
      </c>
      <c r="D167" t="s">
        <v>9</v>
      </c>
      <c r="E167" t="s">
        <v>104</v>
      </c>
    </row>
  </sheetData>
  <autoFilter ref="A1:F39" xr:uid="{B2AEF3F7-9EA9-4235-9872-78FDC34EDD3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zoomScale="85" zoomScaleNormal="85" workbookViewId="0">
      <pane ySplit="1" topLeftCell="A142" activePane="bottomLeft" state="frozen"/>
      <selection pane="bottomLeft" activeCell="C168" sqref="C168"/>
    </sheetView>
  </sheetViews>
  <sheetFormatPr defaultRowHeight="14.4" x14ac:dyDescent="0.3"/>
  <cols>
    <col min="1" max="1" width="34.88671875" bestFit="1" customWidth="1"/>
    <col min="2" max="2" width="13.33203125" bestFit="1" customWidth="1"/>
    <col min="3" max="3" width="13.88671875" bestFit="1" customWidth="1"/>
    <col min="4" max="4" width="27.6640625" customWidth="1"/>
    <col min="5" max="5" width="10.33203125" bestFit="1" customWidth="1"/>
    <col min="6" max="6" width="8.5546875" bestFit="1" customWidth="1"/>
    <col min="7" max="7" width="8.5546875" customWidth="1"/>
    <col min="8" max="9" width="6" bestFit="1" customWidth="1"/>
    <col min="10" max="10" width="8" bestFit="1" customWidth="1"/>
    <col min="11" max="11" width="10" bestFit="1" customWidth="1"/>
    <col min="12" max="12" width="8.88671875" bestFit="1" customWidth="1"/>
    <col min="13" max="13" width="6.44140625" bestFit="1" customWidth="1"/>
    <col min="14" max="14" width="4.44140625" bestFit="1" customWidth="1"/>
    <col min="15" max="15" width="9.44140625" bestFit="1" customWidth="1"/>
    <col min="16" max="21" width="14" bestFit="1" customWidth="1"/>
    <col min="22" max="27" width="11.88671875" bestFit="1" customWidth="1"/>
    <col min="28" max="33" width="12.88671875" bestFit="1" customWidth="1"/>
    <col min="34" max="39" width="9" bestFit="1" customWidth="1"/>
    <col min="40" max="40" width="4" bestFit="1" customWidth="1"/>
    <col min="41" max="41" width="11.44140625" bestFit="1" customWidth="1"/>
    <col min="42" max="42" width="11.5546875" bestFit="1" customWidth="1"/>
    <col min="43" max="43" width="11" bestFit="1" customWidth="1"/>
    <col min="44" max="44" width="11.109375" bestFit="1" customWidth="1"/>
    <col min="45" max="45" width="12.33203125" bestFit="1" customWidth="1"/>
    <col min="46" max="46" width="12.44140625" bestFit="1" customWidth="1"/>
    <col min="47" max="47" width="9.6640625" bestFit="1" customWidth="1"/>
    <col min="48" max="48" width="9.88671875" bestFit="1" customWidth="1"/>
    <col min="49" max="49" width="8.88671875" bestFit="1" customWidth="1"/>
    <col min="50" max="50" width="9" bestFit="1" customWidth="1"/>
    <col min="51" max="51" width="8.44140625" bestFit="1" customWidth="1"/>
    <col min="52" max="52" width="8.5546875" bestFit="1" customWidth="1"/>
    <col min="54" max="54" width="13.33203125" bestFit="1" customWidth="1"/>
    <col min="55" max="55" width="1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>
        <v>2020</v>
      </c>
      <c r="E1">
        <v>2030</v>
      </c>
      <c r="F1">
        <v>2040</v>
      </c>
      <c r="G1">
        <v>2050</v>
      </c>
    </row>
    <row r="2" spans="1:7" x14ac:dyDescent="0.3">
      <c r="A2" t="s">
        <v>3</v>
      </c>
      <c r="B2" t="s">
        <v>6</v>
      </c>
      <c r="C2" t="s">
        <v>21</v>
      </c>
      <c r="D2">
        <v>950</v>
      </c>
    </row>
    <row r="3" spans="1:7" x14ac:dyDescent="0.3">
      <c r="B3" t="s">
        <v>7</v>
      </c>
      <c r="C3" t="s">
        <v>21</v>
      </c>
      <c r="D3">
        <f>D2*0.05</f>
        <v>47.5</v>
      </c>
    </row>
    <row r="4" spans="1:7" x14ac:dyDescent="0.3">
      <c r="B4" t="s">
        <v>8</v>
      </c>
      <c r="C4" t="s">
        <v>22</v>
      </c>
      <c r="D4">
        <v>0.2</v>
      </c>
    </row>
    <row r="5" spans="1:7" x14ac:dyDescent="0.3">
      <c r="B5" t="s">
        <v>9</v>
      </c>
      <c r="D5">
        <v>0.6</v>
      </c>
    </row>
    <row r="6" spans="1:7" x14ac:dyDescent="0.3">
      <c r="B6" t="s">
        <v>10</v>
      </c>
      <c r="C6" t="s">
        <v>11</v>
      </c>
      <c r="D6">
        <v>30</v>
      </c>
    </row>
    <row r="7" spans="1:7" x14ac:dyDescent="0.3">
      <c r="B7" t="s">
        <v>44</v>
      </c>
      <c r="C7" t="s">
        <v>45</v>
      </c>
      <c r="D7">
        <v>0.2</v>
      </c>
    </row>
    <row r="8" spans="1:7" x14ac:dyDescent="0.3">
      <c r="A8" t="s">
        <v>59</v>
      </c>
      <c r="B8" t="s">
        <v>6</v>
      </c>
      <c r="C8" t="s">
        <v>21</v>
      </c>
      <c r="D8">
        <v>2500</v>
      </c>
    </row>
    <row r="9" spans="1:7" x14ac:dyDescent="0.3">
      <c r="B9" t="s">
        <v>7</v>
      </c>
      <c r="C9" t="s">
        <v>21</v>
      </c>
      <c r="D9">
        <f>D8*0.05</f>
        <v>125</v>
      </c>
    </row>
    <row r="10" spans="1:7" x14ac:dyDescent="0.3">
      <c r="B10" t="s">
        <v>8</v>
      </c>
      <c r="C10" t="s">
        <v>22</v>
      </c>
      <c r="D10">
        <v>0.2</v>
      </c>
    </row>
    <row r="11" spans="1:7" x14ac:dyDescent="0.3">
      <c r="B11" t="s">
        <v>9</v>
      </c>
      <c r="D11">
        <v>0.35</v>
      </c>
    </row>
    <row r="12" spans="1:7" x14ac:dyDescent="0.3">
      <c r="B12" t="s">
        <v>10</v>
      </c>
      <c r="C12" t="s">
        <v>11</v>
      </c>
      <c r="D12">
        <v>30</v>
      </c>
    </row>
    <row r="13" spans="1:7" x14ac:dyDescent="0.3">
      <c r="A13" t="s">
        <v>61</v>
      </c>
      <c r="B13" t="s">
        <v>6</v>
      </c>
      <c r="C13" t="s">
        <v>21</v>
      </c>
      <c r="D13">
        <v>6000</v>
      </c>
      <c r="G13">
        <f>D13*0.8</f>
        <v>4800</v>
      </c>
    </row>
    <row r="14" spans="1:7" x14ac:dyDescent="0.3">
      <c r="B14" t="s">
        <v>7</v>
      </c>
      <c r="C14" t="s">
        <v>21</v>
      </c>
      <c r="D14">
        <f>D13*0.05</f>
        <v>300</v>
      </c>
      <c r="G14">
        <f t="shared" ref="G14:G15" si="0">D14*0.8</f>
        <v>240</v>
      </c>
    </row>
    <row r="15" spans="1:7" x14ac:dyDescent="0.3">
      <c r="B15" t="s">
        <v>8</v>
      </c>
      <c r="C15" t="s">
        <v>22</v>
      </c>
      <c r="D15">
        <v>0.5</v>
      </c>
      <c r="G15">
        <f t="shared" si="0"/>
        <v>0.4</v>
      </c>
    </row>
    <row r="16" spans="1:7" x14ac:dyDescent="0.3">
      <c r="B16" t="s">
        <v>9</v>
      </c>
      <c r="D16">
        <v>0.4</v>
      </c>
      <c r="G16">
        <v>0.4</v>
      </c>
    </row>
    <row r="17" spans="1:7" x14ac:dyDescent="0.3">
      <c r="B17" t="s">
        <v>10</v>
      </c>
      <c r="C17" t="s">
        <v>11</v>
      </c>
      <c r="D17">
        <v>40</v>
      </c>
    </row>
    <row r="18" spans="1:7" x14ac:dyDescent="0.3">
      <c r="A18" t="s">
        <v>43</v>
      </c>
      <c r="B18" t="s">
        <v>6</v>
      </c>
      <c r="C18" t="s">
        <v>21</v>
      </c>
      <c r="D18">
        <v>1000</v>
      </c>
      <c r="E18">
        <v>760</v>
      </c>
      <c r="G18">
        <v>350</v>
      </c>
    </row>
    <row r="19" spans="1:7" x14ac:dyDescent="0.3">
      <c r="B19" t="s">
        <v>7</v>
      </c>
      <c r="C19" t="s">
        <v>21</v>
      </c>
      <c r="D19">
        <v>10</v>
      </c>
      <c r="E19">
        <v>8</v>
      </c>
      <c r="G19">
        <v>3</v>
      </c>
    </row>
    <row r="20" spans="1:7" x14ac:dyDescent="0.3">
      <c r="B20" t="s">
        <v>8</v>
      </c>
      <c r="C20" t="s">
        <v>22</v>
      </c>
      <c r="D20">
        <v>0.05</v>
      </c>
      <c r="E20">
        <v>0.05</v>
      </c>
      <c r="G20">
        <v>0.05</v>
      </c>
    </row>
    <row r="21" spans="1:7" x14ac:dyDescent="0.3">
      <c r="B21" t="s">
        <v>9</v>
      </c>
      <c r="D21">
        <v>1</v>
      </c>
      <c r="E21">
        <v>1</v>
      </c>
      <c r="G21">
        <v>1</v>
      </c>
    </row>
    <row r="22" spans="1:7" x14ac:dyDescent="0.3">
      <c r="B22" t="s">
        <v>10</v>
      </c>
      <c r="C22" t="s">
        <v>11</v>
      </c>
      <c r="D22">
        <v>25</v>
      </c>
      <c r="E22">
        <v>25</v>
      </c>
      <c r="G22">
        <v>25</v>
      </c>
    </row>
    <row r="23" spans="1:7" x14ac:dyDescent="0.3">
      <c r="A23" t="s">
        <v>53</v>
      </c>
      <c r="B23" t="s">
        <v>6</v>
      </c>
      <c r="C23" t="s">
        <v>21</v>
      </c>
      <c r="D23">
        <v>1500</v>
      </c>
      <c r="E23">
        <v>1300</v>
      </c>
      <c r="G23">
        <v>1000</v>
      </c>
    </row>
    <row r="24" spans="1:7" x14ac:dyDescent="0.3">
      <c r="B24" t="s">
        <v>7</v>
      </c>
      <c r="C24" t="s">
        <v>21</v>
      </c>
      <c r="D24">
        <v>30</v>
      </c>
      <c r="E24">
        <v>25</v>
      </c>
      <c r="G24">
        <v>20</v>
      </c>
    </row>
    <row r="25" spans="1:7" x14ac:dyDescent="0.3">
      <c r="B25" t="s">
        <v>8</v>
      </c>
      <c r="C25" t="s">
        <v>22</v>
      </c>
      <c r="D25">
        <v>0.1</v>
      </c>
      <c r="E25">
        <v>0.1</v>
      </c>
      <c r="G25">
        <v>0.1</v>
      </c>
    </row>
    <row r="26" spans="1:7" x14ac:dyDescent="0.3">
      <c r="B26" t="s">
        <v>9</v>
      </c>
      <c r="D26">
        <v>1</v>
      </c>
      <c r="E26">
        <v>1</v>
      </c>
      <c r="G26">
        <v>1</v>
      </c>
    </row>
    <row r="27" spans="1:7" x14ac:dyDescent="0.3">
      <c r="B27" t="s">
        <v>10</v>
      </c>
      <c r="C27" t="s">
        <v>11</v>
      </c>
      <c r="D27">
        <v>25</v>
      </c>
      <c r="E27">
        <v>25</v>
      </c>
      <c r="G27">
        <v>25</v>
      </c>
    </row>
    <row r="28" spans="1:7" x14ac:dyDescent="0.3">
      <c r="A28" t="s">
        <v>54</v>
      </c>
      <c r="B28" t="s">
        <v>6</v>
      </c>
      <c r="C28" t="s">
        <v>21</v>
      </c>
      <c r="D28">
        <v>2500</v>
      </c>
      <c r="E28">
        <v>2000</v>
      </c>
      <c r="G28">
        <v>1300</v>
      </c>
    </row>
    <row r="29" spans="1:7" x14ac:dyDescent="0.3">
      <c r="B29" t="s">
        <v>7</v>
      </c>
      <c r="C29" t="s">
        <v>21</v>
      </c>
      <c r="D29">
        <f>0.05*D28</f>
        <v>125</v>
      </c>
      <c r="E29">
        <f>0.05*E28</f>
        <v>100</v>
      </c>
      <c r="G29">
        <f>0.05*G28</f>
        <v>65</v>
      </c>
    </row>
    <row r="30" spans="1:7" x14ac:dyDescent="0.3">
      <c r="B30" t="s">
        <v>8</v>
      </c>
      <c r="C30" t="s">
        <v>22</v>
      </c>
      <c r="D30">
        <v>0.1</v>
      </c>
      <c r="E30">
        <v>0.1</v>
      </c>
      <c r="G30">
        <v>0.1</v>
      </c>
    </row>
    <row r="31" spans="1:7" x14ac:dyDescent="0.3">
      <c r="B31" t="s">
        <v>9</v>
      </c>
      <c r="D31">
        <v>1.2</v>
      </c>
      <c r="E31">
        <v>1.2</v>
      </c>
      <c r="G31">
        <v>1.2</v>
      </c>
    </row>
    <row r="32" spans="1:7" x14ac:dyDescent="0.3">
      <c r="B32" t="s">
        <v>10</v>
      </c>
      <c r="C32" t="s">
        <v>11</v>
      </c>
      <c r="D32">
        <v>25</v>
      </c>
      <c r="E32">
        <v>25</v>
      </c>
      <c r="G32">
        <v>25</v>
      </c>
    </row>
    <row r="33" spans="1:7" x14ac:dyDescent="0.3">
      <c r="A33" t="s">
        <v>14</v>
      </c>
      <c r="B33" t="s">
        <v>6</v>
      </c>
      <c r="C33" t="s">
        <v>21</v>
      </c>
      <c r="D33">
        <v>700</v>
      </c>
      <c r="E33">
        <v>350</v>
      </c>
      <c r="G33">
        <v>200</v>
      </c>
    </row>
    <row r="34" spans="1:7" x14ac:dyDescent="0.3">
      <c r="B34" t="s">
        <v>7</v>
      </c>
      <c r="C34" t="s">
        <v>21</v>
      </c>
      <c r="D34">
        <v>0</v>
      </c>
      <c r="E34">
        <v>0</v>
      </c>
      <c r="G34">
        <v>0</v>
      </c>
    </row>
    <row r="35" spans="1:7" x14ac:dyDescent="0.3">
      <c r="B35" t="s">
        <v>8</v>
      </c>
      <c r="C35" t="s">
        <v>22</v>
      </c>
      <c r="D35">
        <v>0</v>
      </c>
      <c r="E35">
        <v>0</v>
      </c>
      <c r="G35">
        <v>0</v>
      </c>
    </row>
    <row r="36" spans="1:7" x14ac:dyDescent="0.3">
      <c r="B36" t="s">
        <v>9</v>
      </c>
      <c r="D36">
        <v>0.95</v>
      </c>
      <c r="E36">
        <v>0.95</v>
      </c>
      <c r="G36">
        <v>0.95</v>
      </c>
    </row>
    <row r="37" spans="1:7" x14ac:dyDescent="0.3">
      <c r="B37" t="s">
        <v>10</v>
      </c>
      <c r="C37" t="s">
        <v>11</v>
      </c>
      <c r="D37">
        <v>25</v>
      </c>
      <c r="E37">
        <v>25</v>
      </c>
      <c r="G37">
        <v>25</v>
      </c>
    </row>
    <row r="38" spans="1:7" x14ac:dyDescent="0.3">
      <c r="A38" t="s">
        <v>18</v>
      </c>
      <c r="B38" t="s">
        <v>6</v>
      </c>
      <c r="C38" t="s">
        <v>23</v>
      </c>
      <c r="D38">
        <v>35000</v>
      </c>
      <c r="E38">
        <f>D38*0.8</f>
        <v>28000</v>
      </c>
      <c r="F38">
        <f t="shared" ref="F38:G38" si="1">E38*0.8</f>
        <v>22400</v>
      </c>
      <c r="G38">
        <f t="shared" si="1"/>
        <v>17920</v>
      </c>
    </row>
    <row r="39" spans="1:7" x14ac:dyDescent="0.3">
      <c r="B39" t="s">
        <v>7</v>
      </c>
      <c r="C39" t="s">
        <v>23</v>
      </c>
      <c r="D39">
        <v>0</v>
      </c>
      <c r="E39">
        <v>0</v>
      </c>
      <c r="F39">
        <v>0</v>
      </c>
      <c r="G39">
        <v>0</v>
      </c>
    </row>
    <row r="40" spans="1:7" x14ac:dyDescent="0.3">
      <c r="B40" t="s">
        <v>8</v>
      </c>
      <c r="C40" t="s">
        <v>22</v>
      </c>
      <c r="D40">
        <v>0</v>
      </c>
      <c r="E40">
        <v>0</v>
      </c>
      <c r="F40">
        <v>0</v>
      </c>
      <c r="G40">
        <v>0</v>
      </c>
    </row>
    <row r="41" spans="1:7" x14ac:dyDescent="0.3">
      <c r="B41" t="s">
        <v>9</v>
      </c>
      <c r="C41" t="s">
        <v>20</v>
      </c>
      <c r="D41">
        <v>3.6</v>
      </c>
      <c r="E41">
        <v>5.6</v>
      </c>
      <c r="F41">
        <v>6.12</v>
      </c>
      <c r="G41">
        <v>6.12</v>
      </c>
    </row>
    <row r="42" spans="1:7" x14ac:dyDescent="0.3">
      <c r="B42" t="s">
        <v>10</v>
      </c>
      <c r="C42" t="s">
        <v>11</v>
      </c>
      <c r="D42">
        <v>12</v>
      </c>
      <c r="E42">
        <v>12</v>
      </c>
      <c r="F42">
        <v>12</v>
      </c>
      <c r="G42">
        <v>12</v>
      </c>
    </row>
    <row r="43" spans="1:7" x14ac:dyDescent="0.3">
      <c r="A43" t="s">
        <v>36</v>
      </c>
      <c r="B43" t="s">
        <v>6</v>
      </c>
      <c r="C43" t="s">
        <v>23</v>
      </c>
      <c r="D43">
        <v>15000</v>
      </c>
      <c r="E43">
        <f>D43*0.8</f>
        <v>12000</v>
      </c>
      <c r="F43">
        <f t="shared" ref="F43:G43" si="2">E43*0.8</f>
        <v>9600</v>
      </c>
      <c r="G43">
        <f t="shared" si="2"/>
        <v>7680</v>
      </c>
    </row>
    <row r="44" spans="1:7" x14ac:dyDescent="0.3">
      <c r="B44" t="s">
        <v>7</v>
      </c>
      <c r="C44" t="s">
        <v>23</v>
      </c>
      <c r="D44">
        <v>0</v>
      </c>
      <c r="E44">
        <v>0</v>
      </c>
      <c r="F44">
        <v>0</v>
      </c>
      <c r="G44">
        <v>0</v>
      </c>
    </row>
    <row r="45" spans="1:7" x14ac:dyDescent="0.3">
      <c r="B45" t="s">
        <v>8</v>
      </c>
      <c r="C45" t="s">
        <v>22</v>
      </c>
      <c r="D45">
        <v>0</v>
      </c>
      <c r="E45">
        <v>0</v>
      </c>
      <c r="F45">
        <v>0</v>
      </c>
      <c r="G45">
        <v>0</v>
      </c>
    </row>
    <row r="46" spans="1:7" x14ac:dyDescent="0.3">
      <c r="B46" t="s">
        <v>9</v>
      </c>
      <c r="C46" t="s">
        <v>20</v>
      </c>
      <c r="D46">
        <v>2.16</v>
      </c>
      <c r="E46">
        <v>2.16</v>
      </c>
      <c r="F46">
        <v>2.16</v>
      </c>
      <c r="G46">
        <v>2.16</v>
      </c>
    </row>
    <row r="47" spans="1:7" x14ac:dyDescent="0.3">
      <c r="B47" t="s">
        <v>10</v>
      </c>
      <c r="C47" t="s">
        <v>11</v>
      </c>
      <c r="D47">
        <v>12</v>
      </c>
      <c r="E47">
        <v>12</v>
      </c>
      <c r="F47">
        <v>12</v>
      </c>
      <c r="G47">
        <v>12</v>
      </c>
    </row>
    <row r="48" spans="1:7" x14ac:dyDescent="0.3">
      <c r="B48" t="s">
        <v>44</v>
      </c>
      <c r="C48" t="s">
        <v>45</v>
      </c>
      <c r="D48">
        <v>0.25</v>
      </c>
    </row>
    <row r="49" spans="1:7" x14ac:dyDescent="0.3">
      <c r="A49" t="s">
        <v>40</v>
      </c>
      <c r="B49" t="s">
        <v>6</v>
      </c>
      <c r="C49" t="s">
        <v>21</v>
      </c>
      <c r="D49">
        <v>300</v>
      </c>
    </row>
    <row r="50" spans="1:7" x14ac:dyDescent="0.3">
      <c r="B50" t="s">
        <v>7</v>
      </c>
      <c r="C50" t="s">
        <v>21</v>
      </c>
      <c r="D50">
        <v>0</v>
      </c>
    </row>
    <row r="51" spans="1:7" x14ac:dyDescent="0.3">
      <c r="B51" t="s">
        <v>8</v>
      </c>
      <c r="C51" t="s">
        <v>22</v>
      </c>
      <c r="D51">
        <v>0</v>
      </c>
    </row>
    <row r="52" spans="1:7" x14ac:dyDescent="0.3">
      <c r="B52" t="s">
        <v>9</v>
      </c>
      <c r="D52">
        <v>0.7</v>
      </c>
      <c r="G52">
        <v>0.9</v>
      </c>
    </row>
    <row r="53" spans="1:7" x14ac:dyDescent="0.3">
      <c r="B53" t="s">
        <v>10</v>
      </c>
      <c r="C53" t="s">
        <v>11</v>
      </c>
      <c r="D53">
        <v>10</v>
      </c>
    </row>
    <row r="54" spans="1:7" x14ac:dyDescent="0.3">
      <c r="A54" t="s">
        <v>64</v>
      </c>
      <c r="B54" t="s">
        <v>6</v>
      </c>
      <c r="C54" t="s">
        <v>21</v>
      </c>
      <c r="D54">
        <v>2500</v>
      </c>
      <c r="E54" s="1"/>
      <c r="F54" s="1"/>
      <c r="G54" s="1"/>
    </row>
    <row r="55" spans="1:7" x14ac:dyDescent="0.3">
      <c r="B55" t="s">
        <v>7</v>
      </c>
      <c r="C55" t="s">
        <v>21</v>
      </c>
      <c r="D55">
        <f>D54*0.05</f>
        <v>125</v>
      </c>
      <c r="E55" s="1"/>
      <c r="F55" s="1"/>
      <c r="G55" s="1"/>
    </row>
    <row r="56" spans="1:7" x14ac:dyDescent="0.3">
      <c r="B56" t="s">
        <v>8</v>
      </c>
      <c r="C56" t="s">
        <v>22</v>
      </c>
      <c r="D56">
        <v>0.4</v>
      </c>
      <c r="E56" s="1"/>
      <c r="F56" s="1"/>
      <c r="G56" s="1"/>
    </row>
    <row r="57" spans="1:7" x14ac:dyDescent="0.3">
      <c r="B57" t="s">
        <v>9</v>
      </c>
      <c r="D57">
        <v>0.5</v>
      </c>
    </row>
    <row r="58" spans="1:7" x14ac:dyDescent="0.3">
      <c r="B58" t="s">
        <v>10</v>
      </c>
      <c r="C58" t="s">
        <v>11</v>
      </c>
      <c r="D58">
        <v>35</v>
      </c>
    </row>
    <row r="59" spans="1:7" x14ac:dyDescent="0.3">
      <c r="B59" t="s">
        <v>44</v>
      </c>
      <c r="C59" t="s">
        <v>45</v>
      </c>
      <c r="D59">
        <f>0.2*0.15</f>
        <v>0.03</v>
      </c>
      <c r="G59">
        <f>0.2*0.05</f>
        <v>1.0000000000000002E-2</v>
      </c>
    </row>
    <row r="60" spans="1:7" x14ac:dyDescent="0.3">
      <c r="B60" t="s">
        <v>68</v>
      </c>
      <c r="C60" t="s">
        <v>45</v>
      </c>
      <c r="D60">
        <f>0.2*0.85</f>
        <v>0.17</v>
      </c>
      <c r="G60">
        <f>0.2*0.95</f>
        <v>0.19</v>
      </c>
    </row>
    <row r="61" spans="1:7" x14ac:dyDescent="0.3">
      <c r="A61" t="s">
        <v>70</v>
      </c>
      <c r="B61" t="s">
        <v>6</v>
      </c>
      <c r="C61" t="s">
        <v>21</v>
      </c>
      <c r="D61">
        <f>2500*2</f>
        <v>5000</v>
      </c>
    </row>
    <row r="62" spans="1:7" x14ac:dyDescent="0.3">
      <c r="B62" t="s">
        <v>7</v>
      </c>
      <c r="C62" t="s">
        <v>21</v>
      </c>
      <c r="D62">
        <f>D61*0.05</f>
        <v>250</v>
      </c>
    </row>
    <row r="63" spans="1:7" x14ac:dyDescent="0.3">
      <c r="B63" t="s">
        <v>8</v>
      </c>
      <c r="C63" t="s">
        <v>22</v>
      </c>
      <c r="D63">
        <f>0.2*2</f>
        <v>0.4</v>
      </c>
    </row>
    <row r="64" spans="1:7" x14ac:dyDescent="0.3">
      <c r="B64" t="s">
        <v>9</v>
      </c>
      <c r="D64">
        <v>0.23</v>
      </c>
    </row>
    <row r="65" spans="1:7" x14ac:dyDescent="0.3">
      <c r="B65" t="s">
        <v>10</v>
      </c>
      <c r="C65" t="s">
        <v>11</v>
      </c>
      <c r="D65">
        <v>30</v>
      </c>
    </row>
    <row r="66" spans="1:7" x14ac:dyDescent="0.3">
      <c r="B66" t="s">
        <v>44</v>
      </c>
      <c r="C66" t="s">
        <v>45</v>
      </c>
      <c r="D66">
        <f>-D67</f>
        <v>-0.38</v>
      </c>
      <c r="G66">
        <f>-G67</f>
        <v>-0.39600000000000002</v>
      </c>
    </row>
    <row r="67" spans="1:7" x14ac:dyDescent="0.3">
      <c r="B67" t="s">
        <v>68</v>
      </c>
      <c r="C67" t="s">
        <v>45</v>
      </c>
      <c r="D67">
        <f>2*0.2*0.95</f>
        <v>0.38</v>
      </c>
      <c r="G67">
        <f>2*0.2*0.99</f>
        <v>0.39600000000000002</v>
      </c>
    </row>
    <row r="68" spans="1:7" x14ac:dyDescent="0.3">
      <c r="A68" t="s">
        <v>72</v>
      </c>
      <c r="B68" t="s">
        <v>6</v>
      </c>
      <c r="C68" t="s">
        <v>21</v>
      </c>
      <c r="D68">
        <v>200</v>
      </c>
      <c r="G68">
        <v>150</v>
      </c>
    </row>
    <row r="69" spans="1:7" x14ac:dyDescent="0.3">
      <c r="B69" t="s">
        <v>7</v>
      </c>
      <c r="C69" t="s">
        <v>21</v>
      </c>
      <c r="D69">
        <f>D68*0.05</f>
        <v>10</v>
      </c>
    </row>
    <row r="70" spans="1:7" x14ac:dyDescent="0.3">
      <c r="B70" t="s">
        <v>8</v>
      </c>
      <c r="C70" t="s">
        <v>22</v>
      </c>
      <c r="D70">
        <v>0</v>
      </c>
    </row>
    <row r="71" spans="1:7" x14ac:dyDescent="0.3">
      <c r="B71" t="s">
        <v>9</v>
      </c>
      <c r="D71">
        <v>0.9</v>
      </c>
      <c r="E71">
        <v>0.95</v>
      </c>
    </row>
    <row r="72" spans="1:7" x14ac:dyDescent="0.3">
      <c r="B72" t="s">
        <v>10</v>
      </c>
      <c r="C72" t="s">
        <v>11</v>
      </c>
      <c r="D72">
        <v>12</v>
      </c>
    </row>
    <row r="73" spans="1:7" x14ac:dyDescent="0.3">
      <c r="B73" t="s">
        <v>44</v>
      </c>
      <c r="C73" t="s">
        <v>45</v>
      </c>
      <c r="D73">
        <v>0.2</v>
      </c>
    </row>
    <row r="74" spans="1:7" x14ac:dyDescent="0.3">
      <c r="A74" t="s">
        <v>75</v>
      </c>
      <c r="B74" t="s">
        <v>6</v>
      </c>
      <c r="C74" t="s">
        <v>21</v>
      </c>
      <c r="D74">
        <v>2000</v>
      </c>
      <c r="E74">
        <v>1500</v>
      </c>
      <c r="G74">
        <v>500</v>
      </c>
    </row>
    <row r="75" spans="1:7" x14ac:dyDescent="0.3">
      <c r="B75" t="s">
        <v>7</v>
      </c>
      <c r="C75" t="s">
        <v>21</v>
      </c>
      <c r="D75">
        <f>D74*0.05</f>
        <v>100</v>
      </c>
      <c r="E75">
        <f>E74*0.05</f>
        <v>75</v>
      </c>
      <c r="G75">
        <f>G74*0.05</f>
        <v>25</v>
      </c>
    </row>
    <row r="76" spans="1:7" x14ac:dyDescent="0.3">
      <c r="B76" t="s">
        <v>8</v>
      </c>
      <c r="C76" t="s">
        <v>22</v>
      </c>
      <c r="D76">
        <v>0</v>
      </c>
    </row>
    <row r="77" spans="1:7" x14ac:dyDescent="0.3">
      <c r="B77" t="s">
        <v>9</v>
      </c>
      <c r="D77">
        <v>3</v>
      </c>
      <c r="E77">
        <v>4</v>
      </c>
      <c r="G77">
        <v>6</v>
      </c>
    </row>
    <row r="78" spans="1:7" x14ac:dyDescent="0.3">
      <c r="B78" t="s">
        <v>10</v>
      </c>
      <c r="C78" t="s">
        <v>11</v>
      </c>
      <c r="D78">
        <v>12</v>
      </c>
    </row>
    <row r="79" spans="1:7" x14ac:dyDescent="0.3">
      <c r="A79" t="s">
        <v>77</v>
      </c>
      <c r="B79" t="s">
        <v>6</v>
      </c>
      <c r="C79" t="s">
        <v>21</v>
      </c>
      <c r="D79">
        <v>450</v>
      </c>
      <c r="G79">
        <v>300</v>
      </c>
    </row>
    <row r="80" spans="1:7" x14ac:dyDescent="0.3">
      <c r="B80" t="s">
        <v>7</v>
      </c>
      <c r="C80" t="s">
        <v>21</v>
      </c>
      <c r="D80">
        <f>D79*0.05</f>
        <v>22.5</v>
      </c>
      <c r="G80">
        <f>G79*0.05</f>
        <v>15</v>
      </c>
    </row>
    <row r="81" spans="1:7" x14ac:dyDescent="0.3">
      <c r="B81" t="s">
        <v>8</v>
      </c>
      <c r="C81" t="s">
        <v>22</v>
      </c>
      <c r="D81">
        <v>0.2</v>
      </c>
      <c r="G81">
        <v>0.2</v>
      </c>
    </row>
    <row r="82" spans="1:7" x14ac:dyDescent="0.3">
      <c r="B82" t="s">
        <v>9</v>
      </c>
      <c r="D82">
        <v>0.85</v>
      </c>
      <c r="G82">
        <v>0.9</v>
      </c>
    </row>
    <row r="83" spans="1:7" x14ac:dyDescent="0.3">
      <c r="B83" t="s">
        <v>10</v>
      </c>
      <c r="C83" t="s">
        <v>11</v>
      </c>
      <c r="D83">
        <v>20</v>
      </c>
      <c r="G83">
        <v>20</v>
      </c>
    </row>
    <row r="84" spans="1:7" x14ac:dyDescent="0.3">
      <c r="B84" t="s">
        <v>44</v>
      </c>
      <c r="C84" t="s">
        <v>45</v>
      </c>
      <c r="D84">
        <v>0.2</v>
      </c>
      <c r="G84">
        <v>0.2</v>
      </c>
    </row>
    <row r="85" spans="1:7" x14ac:dyDescent="0.3">
      <c r="A85" t="s">
        <v>81</v>
      </c>
      <c r="B85" t="s">
        <v>6</v>
      </c>
      <c r="C85" t="s">
        <v>21</v>
      </c>
      <c r="D85">
        <f>D79*2</f>
        <v>900</v>
      </c>
      <c r="G85">
        <v>500</v>
      </c>
    </row>
    <row r="86" spans="1:7" x14ac:dyDescent="0.3">
      <c r="B86" t="s">
        <v>7</v>
      </c>
      <c r="C86" t="s">
        <v>21</v>
      </c>
      <c r="D86">
        <f>D85*0.05</f>
        <v>45</v>
      </c>
      <c r="G86">
        <f>G85*0.05</f>
        <v>25</v>
      </c>
    </row>
    <row r="87" spans="1:7" x14ac:dyDescent="0.3">
      <c r="B87" t="s">
        <v>8</v>
      </c>
      <c r="C87" t="s">
        <v>22</v>
      </c>
      <c r="D87">
        <v>0.4</v>
      </c>
      <c r="G87">
        <v>0.3</v>
      </c>
    </row>
    <row r="88" spans="1:7" x14ac:dyDescent="0.3">
      <c r="B88" t="s">
        <v>9</v>
      </c>
      <c r="D88">
        <v>0.8</v>
      </c>
      <c r="G88">
        <v>0.85</v>
      </c>
    </row>
    <row r="89" spans="1:7" x14ac:dyDescent="0.3">
      <c r="B89" t="s">
        <v>10</v>
      </c>
      <c r="C89" t="s">
        <v>11</v>
      </c>
      <c r="D89">
        <v>20</v>
      </c>
      <c r="G89">
        <v>20</v>
      </c>
    </row>
    <row r="90" spans="1:7" x14ac:dyDescent="0.3">
      <c r="B90" t="s">
        <v>44</v>
      </c>
      <c r="C90" t="s">
        <v>45</v>
      </c>
      <c r="D90">
        <f>0.2*0.15</f>
        <v>0.03</v>
      </c>
      <c r="G90">
        <f>0.2*0.1</f>
        <v>2.0000000000000004E-2</v>
      </c>
    </row>
    <row r="91" spans="1:7" x14ac:dyDescent="0.3">
      <c r="B91" t="s">
        <v>68</v>
      </c>
      <c r="C91" t="s">
        <v>45</v>
      </c>
      <c r="D91">
        <f>0.2*0.85</f>
        <v>0.17</v>
      </c>
      <c r="G91">
        <f>0.2*0.9</f>
        <v>0.18000000000000002</v>
      </c>
    </row>
    <row r="92" spans="1:7" x14ac:dyDescent="0.3">
      <c r="A92" t="s">
        <v>83</v>
      </c>
      <c r="B92" t="s">
        <v>6</v>
      </c>
      <c r="C92" t="s">
        <v>21</v>
      </c>
      <c r="D92">
        <v>350</v>
      </c>
      <c r="G92">
        <v>100</v>
      </c>
    </row>
    <row r="93" spans="1:7" x14ac:dyDescent="0.3">
      <c r="B93" t="s">
        <v>7</v>
      </c>
      <c r="C93" t="s">
        <v>21</v>
      </c>
      <c r="D93">
        <f>D92*0.05</f>
        <v>17.5</v>
      </c>
      <c r="G93">
        <f>G92*0.05</f>
        <v>5</v>
      </c>
    </row>
    <row r="94" spans="1:7" x14ac:dyDescent="0.3">
      <c r="B94" t="s">
        <v>8</v>
      </c>
      <c r="C94" t="s">
        <v>22</v>
      </c>
      <c r="D94">
        <v>0.2</v>
      </c>
      <c r="G94">
        <v>0.2</v>
      </c>
    </row>
    <row r="95" spans="1:7" x14ac:dyDescent="0.3">
      <c r="B95" t="s">
        <v>9</v>
      </c>
      <c r="D95">
        <v>0.95</v>
      </c>
      <c r="G95">
        <v>0.99</v>
      </c>
    </row>
    <row r="96" spans="1:7" x14ac:dyDescent="0.3">
      <c r="B96" t="s">
        <v>10</v>
      </c>
      <c r="C96" t="s">
        <v>11</v>
      </c>
      <c r="D96">
        <v>15</v>
      </c>
      <c r="G96">
        <v>20</v>
      </c>
    </row>
    <row r="97" spans="1:7" x14ac:dyDescent="0.3">
      <c r="A97" t="s">
        <v>85</v>
      </c>
      <c r="B97" t="s">
        <v>6</v>
      </c>
      <c r="C97" t="s">
        <v>21</v>
      </c>
      <c r="D97">
        <v>900</v>
      </c>
      <c r="G97">
        <v>400</v>
      </c>
    </row>
    <row r="98" spans="1:7" x14ac:dyDescent="0.3">
      <c r="B98" t="s">
        <v>7</v>
      </c>
      <c r="C98" t="s">
        <v>21</v>
      </c>
      <c r="D98">
        <f>D97*0.05</f>
        <v>45</v>
      </c>
      <c r="G98">
        <f>G97*0.05</f>
        <v>20</v>
      </c>
    </row>
    <row r="99" spans="1:7" x14ac:dyDescent="0.3">
      <c r="B99" t="s">
        <v>8</v>
      </c>
      <c r="C99" t="s">
        <v>22</v>
      </c>
      <c r="D99">
        <v>0.2</v>
      </c>
      <c r="G99">
        <v>0.2</v>
      </c>
    </row>
    <row r="100" spans="1:7" x14ac:dyDescent="0.3">
      <c r="B100" t="s">
        <v>9</v>
      </c>
      <c r="D100">
        <v>0.6</v>
      </c>
      <c r="G100">
        <v>0.8</v>
      </c>
    </row>
    <row r="101" spans="1:7" x14ac:dyDescent="0.3">
      <c r="B101" t="s">
        <v>10</v>
      </c>
      <c r="C101" t="s">
        <v>11</v>
      </c>
      <c r="D101">
        <v>20</v>
      </c>
      <c r="G101">
        <v>20</v>
      </c>
    </row>
    <row r="102" spans="1:7" x14ac:dyDescent="0.3">
      <c r="B102" t="s">
        <v>44</v>
      </c>
      <c r="C102" t="s">
        <v>45</v>
      </c>
      <c r="D102">
        <v>0.2</v>
      </c>
      <c r="G102">
        <v>0.2</v>
      </c>
    </row>
    <row r="103" spans="1:7" x14ac:dyDescent="0.3">
      <c r="A103" t="s">
        <v>88</v>
      </c>
      <c r="B103" t="s">
        <v>6</v>
      </c>
      <c r="C103" t="s">
        <v>21</v>
      </c>
      <c r="D103">
        <f>D97*2</f>
        <v>1800</v>
      </c>
      <c r="G103">
        <v>1000</v>
      </c>
    </row>
    <row r="104" spans="1:7" x14ac:dyDescent="0.3">
      <c r="B104" t="s">
        <v>7</v>
      </c>
      <c r="C104" t="s">
        <v>21</v>
      </c>
      <c r="D104">
        <f>D103*0.05</f>
        <v>90</v>
      </c>
      <c r="G104">
        <f>G103*0.05</f>
        <v>50</v>
      </c>
    </row>
    <row r="105" spans="1:7" x14ac:dyDescent="0.3">
      <c r="B105" t="s">
        <v>8</v>
      </c>
      <c r="C105" t="s">
        <v>22</v>
      </c>
      <c r="D105">
        <v>0.4</v>
      </c>
      <c r="G105">
        <v>0.3</v>
      </c>
    </row>
    <row r="106" spans="1:7" x14ac:dyDescent="0.3">
      <c r="B106" t="s">
        <v>9</v>
      </c>
      <c r="D106">
        <v>0.5</v>
      </c>
      <c r="G106">
        <v>0.7</v>
      </c>
    </row>
    <row r="107" spans="1:7" x14ac:dyDescent="0.3">
      <c r="B107" t="s">
        <v>10</v>
      </c>
      <c r="C107" t="s">
        <v>11</v>
      </c>
      <c r="D107">
        <v>20</v>
      </c>
      <c r="G107">
        <v>20</v>
      </c>
    </row>
    <row r="108" spans="1:7" x14ac:dyDescent="0.3">
      <c r="B108" t="s">
        <v>44</v>
      </c>
      <c r="C108" t="s">
        <v>45</v>
      </c>
      <c r="D108">
        <f>0.2*0.15</f>
        <v>0.03</v>
      </c>
      <c r="G108">
        <f>0.2*0.1</f>
        <v>2.0000000000000004E-2</v>
      </c>
    </row>
    <row r="109" spans="1:7" x14ac:dyDescent="0.3">
      <c r="B109" t="s">
        <v>68</v>
      </c>
      <c r="C109" t="s">
        <v>45</v>
      </c>
      <c r="D109">
        <f>0.2*0.85</f>
        <v>0.17</v>
      </c>
      <c r="G109">
        <f>0.2*0.9</f>
        <v>0.18000000000000002</v>
      </c>
    </row>
    <row r="110" spans="1:7" x14ac:dyDescent="0.3">
      <c r="A110" t="s">
        <v>95</v>
      </c>
      <c r="B110" t="s">
        <v>6</v>
      </c>
      <c r="C110" t="s">
        <v>23</v>
      </c>
      <c r="D110">
        <v>0</v>
      </c>
    </row>
    <row r="111" spans="1:7" x14ac:dyDescent="0.3">
      <c r="B111" t="s">
        <v>7</v>
      </c>
      <c r="C111" t="s">
        <v>23</v>
      </c>
      <c r="D111">
        <v>0</v>
      </c>
    </row>
    <row r="112" spans="1:7" x14ac:dyDescent="0.3">
      <c r="B112" t="s">
        <v>8</v>
      </c>
      <c r="C112" t="s">
        <v>22</v>
      </c>
      <c r="D112">
        <v>0</v>
      </c>
    </row>
    <row r="113" spans="1:4" x14ac:dyDescent="0.3">
      <c r="B113" t="s">
        <v>9</v>
      </c>
      <c r="C113" t="s">
        <v>20</v>
      </c>
      <c r="D113">
        <v>2.5</v>
      </c>
    </row>
    <row r="114" spans="1:4" x14ac:dyDescent="0.3">
      <c r="B114" t="s">
        <v>10</v>
      </c>
      <c r="C114" t="s">
        <v>11</v>
      </c>
      <c r="D114">
        <v>4</v>
      </c>
    </row>
    <row r="115" spans="1:4" x14ac:dyDescent="0.3">
      <c r="A115" t="s">
        <v>97</v>
      </c>
      <c r="B115" t="s">
        <v>6</v>
      </c>
      <c r="C115" t="s">
        <v>23</v>
      </c>
      <c r="D115">
        <v>0</v>
      </c>
    </row>
    <row r="116" spans="1:4" x14ac:dyDescent="0.3">
      <c r="B116" t="s">
        <v>7</v>
      </c>
      <c r="C116" t="s">
        <v>23</v>
      </c>
      <c r="D116">
        <v>0</v>
      </c>
    </row>
    <row r="117" spans="1:4" x14ac:dyDescent="0.3">
      <c r="B117" t="s">
        <v>8</v>
      </c>
      <c r="C117" t="s">
        <v>22</v>
      </c>
      <c r="D117">
        <v>0</v>
      </c>
    </row>
    <row r="118" spans="1:4" x14ac:dyDescent="0.3">
      <c r="B118" t="s">
        <v>9</v>
      </c>
      <c r="C118" t="s">
        <v>20</v>
      </c>
      <c r="D118">
        <v>2.5</v>
      </c>
    </row>
    <row r="119" spans="1:4" x14ac:dyDescent="0.3">
      <c r="B119" t="s">
        <v>10</v>
      </c>
      <c r="C119" t="s">
        <v>11</v>
      </c>
      <c r="D119">
        <v>4</v>
      </c>
    </row>
    <row r="120" spans="1:4" x14ac:dyDescent="0.3">
      <c r="B120" t="s">
        <v>44</v>
      </c>
      <c r="C120" t="s">
        <v>45</v>
      </c>
      <c r="D120">
        <v>0.25</v>
      </c>
    </row>
    <row r="121" spans="1:4" x14ac:dyDescent="0.3">
      <c r="A121" t="s">
        <v>94</v>
      </c>
      <c r="B121" t="s">
        <v>6</v>
      </c>
      <c r="C121" t="s">
        <v>21</v>
      </c>
      <c r="D121">
        <v>0</v>
      </c>
    </row>
    <row r="122" spans="1:4" x14ac:dyDescent="0.3">
      <c r="B122" t="s">
        <v>7</v>
      </c>
      <c r="C122" t="s">
        <v>21</v>
      </c>
      <c r="D122">
        <v>48</v>
      </c>
    </row>
    <row r="123" spans="1:4" x14ac:dyDescent="0.3">
      <c r="B123" t="s">
        <v>8</v>
      </c>
      <c r="C123" t="s">
        <v>22</v>
      </c>
      <c r="D123">
        <v>0.2</v>
      </c>
    </row>
    <row r="124" spans="1:4" x14ac:dyDescent="0.3">
      <c r="B124" t="s">
        <v>9</v>
      </c>
      <c r="D124">
        <v>0.6</v>
      </c>
    </row>
    <row r="125" spans="1:4" x14ac:dyDescent="0.3">
      <c r="B125" t="s">
        <v>10</v>
      </c>
      <c r="C125" t="s">
        <v>11</v>
      </c>
      <c r="D125">
        <v>4</v>
      </c>
    </row>
    <row r="126" spans="1:4" x14ac:dyDescent="0.3">
      <c r="B126" t="s">
        <v>44</v>
      </c>
      <c r="C126" t="s">
        <v>45</v>
      </c>
      <c r="D126">
        <v>0.2</v>
      </c>
    </row>
    <row r="127" spans="1:4" x14ac:dyDescent="0.3">
      <c r="A127" t="s">
        <v>100</v>
      </c>
      <c r="B127" t="s">
        <v>6</v>
      </c>
      <c r="C127" t="s">
        <v>21</v>
      </c>
      <c r="D127">
        <v>0</v>
      </c>
    </row>
    <row r="128" spans="1:4" x14ac:dyDescent="0.3">
      <c r="B128" t="s">
        <v>7</v>
      </c>
      <c r="C128" t="s">
        <v>21</v>
      </c>
      <c r="D128">
        <f>D127*0.05</f>
        <v>0</v>
      </c>
    </row>
    <row r="129" spans="1:4" x14ac:dyDescent="0.3">
      <c r="B129" t="s">
        <v>8</v>
      </c>
      <c r="C129" t="s">
        <v>22</v>
      </c>
      <c r="D129">
        <v>0</v>
      </c>
    </row>
    <row r="130" spans="1:4" x14ac:dyDescent="0.3">
      <c r="B130" t="s">
        <v>9</v>
      </c>
      <c r="D130">
        <v>0.9</v>
      </c>
    </row>
    <row r="131" spans="1:4" x14ac:dyDescent="0.3">
      <c r="B131" t="s">
        <v>10</v>
      </c>
      <c r="C131" t="s">
        <v>11</v>
      </c>
      <c r="D131">
        <v>4</v>
      </c>
    </row>
    <row r="132" spans="1:4" x14ac:dyDescent="0.3">
      <c r="B132" t="s">
        <v>44</v>
      </c>
      <c r="C132" t="s">
        <v>45</v>
      </c>
      <c r="D132">
        <v>0.2</v>
      </c>
    </row>
    <row r="133" spans="1:4" x14ac:dyDescent="0.3">
      <c r="A133" t="s">
        <v>98</v>
      </c>
      <c r="B133" t="s">
        <v>6</v>
      </c>
      <c r="C133" t="s">
        <v>21</v>
      </c>
      <c r="D133">
        <v>0</v>
      </c>
    </row>
    <row r="134" spans="1:4" x14ac:dyDescent="0.3">
      <c r="B134" t="s">
        <v>7</v>
      </c>
      <c r="C134" t="s">
        <v>21</v>
      </c>
      <c r="D134">
        <v>20</v>
      </c>
    </row>
    <row r="135" spans="1:4" x14ac:dyDescent="0.3">
      <c r="B135" t="s">
        <v>8</v>
      </c>
      <c r="C135" t="s">
        <v>22</v>
      </c>
      <c r="D135">
        <v>0.1</v>
      </c>
    </row>
    <row r="136" spans="1:4" x14ac:dyDescent="0.3">
      <c r="B136" t="s">
        <v>9</v>
      </c>
      <c r="D136">
        <v>0.85</v>
      </c>
    </row>
    <row r="137" spans="1:4" x14ac:dyDescent="0.3">
      <c r="B137" t="s">
        <v>10</v>
      </c>
      <c r="C137" t="s">
        <v>11</v>
      </c>
      <c r="D137">
        <v>4</v>
      </c>
    </row>
    <row r="138" spans="1:4" x14ac:dyDescent="0.3">
      <c r="B138" t="s">
        <v>44</v>
      </c>
      <c r="C138" t="s">
        <v>45</v>
      </c>
      <c r="D138">
        <v>0.2</v>
      </c>
    </row>
    <row r="139" spans="1:4" x14ac:dyDescent="0.3">
      <c r="A139" t="s">
        <v>99</v>
      </c>
      <c r="B139" t="s">
        <v>6</v>
      </c>
      <c r="C139" t="s">
        <v>21</v>
      </c>
      <c r="D139">
        <v>0</v>
      </c>
    </row>
    <row r="140" spans="1:4" x14ac:dyDescent="0.3">
      <c r="B140" t="s">
        <v>7</v>
      </c>
      <c r="C140" t="s">
        <v>21</v>
      </c>
      <c r="D140">
        <v>40</v>
      </c>
    </row>
    <row r="141" spans="1:4" x14ac:dyDescent="0.3">
      <c r="B141" t="s">
        <v>8</v>
      </c>
      <c r="C141" t="s">
        <v>22</v>
      </c>
      <c r="D141">
        <v>0.2</v>
      </c>
    </row>
    <row r="142" spans="1:4" x14ac:dyDescent="0.3">
      <c r="B142" t="s">
        <v>9</v>
      </c>
      <c r="D142">
        <v>0.55000000000000004</v>
      </c>
    </row>
    <row r="143" spans="1:4" x14ac:dyDescent="0.3">
      <c r="B143" t="s">
        <v>10</v>
      </c>
      <c r="C143" t="s">
        <v>11</v>
      </c>
      <c r="D143">
        <v>4</v>
      </c>
    </row>
    <row r="144" spans="1:4" x14ac:dyDescent="0.3">
      <c r="B144" t="s">
        <v>44</v>
      </c>
      <c r="C144" t="s">
        <v>45</v>
      </c>
      <c r="D144">
        <v>0.2</v>
      </c>
    </row>
    <row r="145" spans="1:4" x14ac:dyDescent="0.3">
      <c r="A145" t="s">
        <v>107</v>
      </c>
      <c r="B145" t="s">
        <v>6</v>
      </c>
      <c r="C145" t="s">
        <v>21</v>
      </c>
      <c r="D145">
        <v>659.17899999999997</v>
      </c>
    </row>
    <row r="146" spans="1:4" x14ac:dyDescent="0.3">
      <c r="B146" t="s">
        <v>7</v>
      </c>
      <c r="C146" t="s">
        <v>21</v>
      </c>
      <c r="D146">
        <f>0.05*D145</f>
        <v>32.958950000000002</v>
      </c>
    </row>
    <row r="147" spans="1:4" x14ac:dyDescent="0.3">
      <c r="B147" t="s">
        <v>8</v>
      </c>
      <c r="C147" t="s">
        <v>22</v>
      </c>
    </row>
    <row r="148" spans="1:4" x14ac:dyDescent="0.3">
      <c r="B148" t="s">
        <v>9</v>
      </c>
      <c r="D148">
        <v>0.76</v>
      </c>
    </row>
    <row r="149" spans="1:4" x14ac:dyDescent="0.3">
      <c r="B149" t="s">
        <v>10</v>
      </c>
      <c r="C149" t="s">
        <v>11</v>
      </c>
      <c r="D149">
        <v>30</v>
      </c>
    </row>
    <row r="150" spans="1:4" x14ac:dyDescent="0.3">
      <c r="B150" t="s">
        <v>44</v>
      </c>
      <c r="C150" t="s">
        <v>45</v>
      </c>
      <c r="D150">
        <v>0.2</v>
      </c>
    </row>
    <row r="151" spans="1:4" x14ac:dyDescent="0.3">
      <c r="A151" t="s">
        <v>105</v>
      </c>
      <c r="B151" t="s">
        <v>6</v>
      </c>
      <c r="C151" t="s">
        <v>21</v>
      </c>
      <c r="D151">
        <v>764.64798129999997</v>
      </c>
    </row>
    <row r="152" spans="1:4" x14ac:dyDescent="0.3">
      <c r="B152" t="s">
        <v>7</v>
      </c>
      <c r="C152" t="s">
        <v>21</v>
      </c>
      <c r="D152">
        <f>0.05*D151</f>
        <v>38.232399065000003</v>
      </c>
    </row>
    <row r="153" spans="1:4" x14ac:dyDescent="0.3">
      <c r="B153" t="s">
        <v>8</v>
      </c>
      <c r="C153" t="s">
        <v>22</v>
      </c>
    </row>
    <row r="154" spans="1:4" x14ac:dyDescent="0.3">
      <c r="B154" t="s">
        <v>9</v>
      </c>
      <c r="D154">
        <v>0.69</v>
      </c>
    </row>
    <row r="155" spans="1:4" x14ac:dyDescent="0.3">
      <c r="B155" t="s">
        <v>10</v>
      </c>
      <c r="C155" t="s">
        <v>11</v>
      </c>
      <c r="D155">
        <v>30</v>
      </c>
    </row>
    <row r="156" spans="1:4" x14ac:dyDescent="0.3">
      <c r="B156" t="s">
        <v>68</v>
      </c>
      <c r="C156" t="s">
        <v>45</v>
      </c>
      <c r="D156">
        <f>0.2*0.9</f>
        <v>0.18000000000000002</v>
      </c>
    </row>
    <row r="157" spans="1:4" x14ac:dyDescent="0.3">
      <c r="B157" t="s">
        <v>44</v>
      </c>
      <c r="C157" t="s">
        <v>45</v>
      </c>
      <c r="D157">
        <f>0.02</f>
        <v>0.02</v>
      </c>
    </row>
    <row r="158" spans="1:4" x14ac:dyDescent="0.3">
      <c r="A158" t="s">
        <v>108</v>
      </c>
      <c r="B158" t="s">
        <v>6</v>
      </c>
      <c r="C158" t="s">
        <v>21</v>
      </c>
      <c r="D158" s="2">
        <v>2514.6691999999998</v>
      </c>
    </row>
    <row r="159" spans="1:4" x14ac:dyDescent="0.3">
      <c r="B159" t="s">
        <v>7</v>
      </c>
      <c r="C159" t="s">
        <v>21</v>
      </c>
      <c r="D159">
        <f>0.05*D158</f>
        <v>125.73345999999999</v>
      </c>
    </row>
    <row r="160" spans="1:4" x14ac:dyDescent="0.3">
      <c r="B160" t="s">
        <v>8</v>
      </c>
      <c r="C160" t="s">
        <v>22</v>
      </c>
    </row>
    <row r="161" spans="2:4" x14ac:dyDescent="0.3">
      <c r="B161" t="s">
        <v>9</v>
      </c>
      <c r="D161">
        <v>0.57730000000000004</v>
      </c>
    </row>
    <row r="162" spans="2:4" x14ac:dyDescent="0.3">
      <c r="B162" t="s">
        <v>10</v>
      </c>
      <c r="C162" t="s">
        <v>11</v>
      </c>
      <c r="D162">
        <v>30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172D-F773-442E-8F80-CF8D21EAB2CE}">
  <dimension ref="A1:H29"/>
  <sheetViews>
    <sheetView topLeftCell="A19" workbookViewId="0">
      <selection activeCell="E28" sqref="E28"/>
    </sheetView>
  </sheetViews>
  <sheetFormatPr defaultRowHeight="14.4" x14ac:dyDescent="0.3"/>
  <cols>
    <col min="1" max="1" width="34.88671875" bestFit="1" customWidth="1"/>
    <col min="2" max="2" width="5.33203125" bestFit="1" customWidth="1"/>
    <col min="3" max="3" width="7.44140625" bestFit="1" customWidth="1"/>
    <col min="4" max="4" width="16.88671875" bestFit="1" customWidth="1"/>
    <col min="5" max="8" width="8.109375" customWidth="1"/>
  </cols>
  <sheetData>
    <row r="1" spans="1:8" x14ac:dyDescent="0.3">
      <c r="A1" t="s">
        <v>0</v>
      </c>
      <c r="B1" t="s">
        <v>24</v>
      </c>
      <c r="C1" t="s">
        <v>2</v>
      </c>
      <c r="D1" t="s">
        <v>90</v>
      </c>
      <c r="E1">
        <v>2020</v>
      </c>
      <c r="F1">
        <v>2030</v>
      </c>
      <c r="G1">
        <v>2040</v>
      </c>
      <c r="H1">
        <v>2050</v>
      </c>
    </row>
    <row r="2" spans="1:8" x14ac:dyDescent="0.3">
      <c r="A2" t="s">
        <v>3</v>
      </c>
      <c r="B2" t="s">
        <v>91</v>
      </c>
      <c r="C2" t="s">
        <v>92</v>
      </c>
    </row>
    <row r="3" spans="1:8" x14ac:dyDescent="0.3">
      <c r="B3" t="s">
        <v>93</v>
      </c>
      <c r="C3" t="s">
        <v>92</v>
      </c>
    </row>
    <row r="4" spans="1:8" x14ac:dyDescent="0.3">
      <c r="A4" t="s">
        <v>94</v>
      </c>
      <c r="B4" t="s">
        <v>91</v>
      </c>
      <c r="C4" t="s">
        <v>92</v>
      </c>
      <c r="D4">
        <v>0.7</v>
      </c>
      <c r="E4">
        <f>1770.034-E6</f>
        <v>518.34100000000012</v>
      </c>
    </row>
    <row r="5" spans="1:8" x14ac:dyDescent="0.3">
      <c r="B5" t="s">
        <v>93</v>
      </c>
      <c r="C5" t="s">
        <v>92</v>
      </c>
      <c r="D5">
        <v>0.7</v>
      </c>
      <c r="E5">
        <f>1770.034-E7</f>
        <v>518.34100000000012</v>
      </c>
    </row>
    <row r="6" spans="1:8" x14ac:dyDescent="0.3">
      <c r="A6" t="s">
        <v>59</v>
      </c>
      <c r="B6" t="s">
        <v>91</v>
      </c>
      <c r="C6" t="s">
        <v>92</v>
      </c>
      <c r="D6">
        <v>0.7</v>
      </c>
      <c r="E6">
        <f>271.718+191.875+788.1</f>
        <v>1251.693</v>
      </c>
    </row>
    <row r="7" spans="1:8" x14ac:dyDescent="0.3">
      <c r="B7" t="s">
        <v>93</v>
      </c>
      <c r="C7" t="s">
        <v>92</v>
      </c>
      <c r="D7">
        <v>0.7</v>
      </c>
      <c r="E7">
        <f>271.718+191.875+788.1</f>
        <v>1251.693</v>
      </c>
    </row>
    <row r="8" spans="1:8" x14ac:dyDescent="0.3">
      <c r="A8" t="s">
        <v>61</v>
      </c>
      <c r="B8" t="s">
        <v>91</v>
      </c>
      <c r="C8" t="s">
        <v>92</v>
      </c>
      <c r="D8">
        <v>0.7</v>
      </c>
      <c r="E8">
        <v>512</v>
      </c>
    </row>
    <row r="9" spans="1:8" x14ac:dyDescent="0.3">
      <c r="B9" t="s">
        <v>93</v>
      </c>
      <c r="C9" t="s">
        <v>92</v>
      </c>
      <c r="D9">
        <v>0.7</v>
      </c>
      <c r="E9">
        <v>512</v>
      </c>
    </row>
    <row r="10" spans="1:8" x14ac:dyDescent="0.3">
      <c r="A10" t="s">
        <v>43</v>
      </c>
      <c r="B10" t="s">
        <v>91</v>
      </c>
      <c r="C10" t="s">
        <v>92</v>
      </c>
      <c r="D10">
        <v>0.7</v>
      </c>
      <c r="E10">
        <v>11110022</v>
      </c>
    </row>
    <row r="11" spans="1:8" x14ac:dyDescent="0.3">
      <c r="B11" t="s">
        <v>93</v>
      </c>
      <c r="C11" t="s">
        <v>92</v>
      </c>
      <c r="D11">
        <v>0.7</v>
      </c>
      <c r="E11">
        <v>11110022</v>
      </c>
      <c r="G11" s="2"/>
    </row>
    <row r="12" spans="1:8" x14ac:dyDescent="0.3">
      <c r="A12" t="s">
        <v>53</v>
      </c>
      <c r="B12" t="s">
        <v>91</v>
      </c>
      <c r="C12" t="s">
        <v>92</v>
      </c>
      <c r="D12">
        <v>0.7</v>
      </c>
      <c r="E12">
        <v>4188375</v>
      </c>
    </row>
    <row r="13" spans="1:8" x14ac:dyDescent="0.3">
      <c r="B13" t="s">
        <v>93</v>
      </c>
      <c r="C13" t="s">
        <v>92</v>
      </c>
      <c r="D13">
        <v>0.7</v>
      </c>
      <c r="E13">
        <v>4188375</v>
      </c>
      <c r="G13" s="2"/>
    </row>
    <row r="14" spans="1:8" x14ac:dyDescent="0.3">
      <c r="A14" t="s">
        <v>54</v>
      </c>
      <c r="B14" t="s">
        <v>91</v>
      </c>
      <c r="C14" t="s">
        <v>92</v>
      </c>
      <c r="D14">
        <v>0.7</v>
      </c>
      <c r="E14">
        <v>2459500</v>
      </c>
    </row>
    <row r="15" spans="1:8" x14ac:dyDescent="0.3">
      <c r="B15" t="s">
        <v>93</v>
      </c>
      <c r="C15" t="s">
        <v>92</v>
      </c>
      <c r="D15">
        <v>0.7</v>
      </c>
      <c r="E15">
        <v>2459500</v>
      </c>
    </row>
    <row r="16" spans="1:8" x14ac:dyDescent="0.3">
      <c r="A16" t="s">
        <v>95</v>
      </c>
      <c r="B16" t="s">
        <v>91</v>
      </c>
      <c r="C16" t="s">
        <v>96</v>
      </c>
      <c r="D16">
        <v>4</v>
      </c>
      <c r="E16">
        <v>0.17379700000000001</v>
      </c>
    </row>
    <row r="17" spans="1:7" x14ac:dyDescent="0.3">
      <c r="B17" t="s">
        <v>93</v>
      </c>
      <c r="C17" t="s">
        <v>96</v>
      </c>
      <c r="D17">
        <v>4</v>
      </c>
      <c r="E17">
        <v>0.17379700000000001</v>
      </c>
    </row>
    <row r="18" spans="1:7" x14ac:dyDescent="0.3">
      <c r="A18" t="s">
        <v>18</v>
      </c>
      <c r="B18" t="s">
        <v>91</v>
      </c>
      <c r="C18" t="s">
        <v>96</v>
      </c>
      <c r="D18">
        <v>4</v>
      </c>
    </row>
    <row r="19" spans="1:7" x14ac:dyDescent="0.3">
      <c r="B19" t="s">
        <v>93</v>
      </c>
      <c r="C19" t="s">
        <v>96</v>
      </c>
      <c r="D19">
        <v>4</v>
      </c>
      <c r="G19" s="2"/>
    </row>
    <row r="20" spans="1:7" x14ac:dyDescent="0.3">
      <c r="A20" t="s">
        <v>97</v>
      </c>
      <c r="B20" t="s">
        <v>91</v>
      </c>
      <c r="C20" t="s">
        <v>96</v>
      </c>
      <c r="D20">
        <v>4</v>
      </c>
      <c r="E20">
        <f>8.686419-E17</f>
        <v>8.5126220000000004</v>
      </c>
    </row>
    <row r="21" spans="1:7" x14ac:dyDescent="0.3">
      <c r="B21" t="s">
        <v>93</v>
      </c>
      <c r="C21" t="s">
        <v>96</v>
      </c>
      <c r="D21">
        <v>4</v>
      </c>
      <c r="E21">
        <f>8.686419-E17</f>
        <v>8.5126220000000004</v>
      </c>
    </row>
    <row r="22" spans="1:7" x14ac:dyDescent="0.3">
      <c r="A22" t="s">
        <v>98</v>
      </c>
      <c r="B22" t="s">
        <v>91</v>
      </c>
      <c r="C22" t="s">
        <v>92</v>
      </c>
    </row>
    <row r="23" spans="1:7" x14ac:dyDescent="0.3">
      <c r="B23" t="s">
        <v>93</v>
      </c>
      <c r="C23" t="s">
        <v>92</v>
      </c>
    </row>
    <row r="24" spans="1:7" x14ac:dyDescent="0.3">
      <c r="A24" t="s">
        <v>99</v>
      </c>
      <c r="B24" t="s">
        <v>91</v>
      </c>
      <c r="C24" t="s">
        <v>92</v>
      </c>
    </row>
    <row r="25" spans="1:7" x14ac:dyDescent="0.3">
      <c r="B25" t="s">
        <v>93</v>
      </c>
      <c r="C25" t="s">
        <v>92</v>
      </c>
    </row>
    <row r="26" spans="1:7" x14ac:dyDescent="0.3">
      <c r="A26" t="s">
        <v>85</v>
      </c>
      <c r="B26" t="s">
        <v>91</v>
      </c>
      <c r="C26" t="s">
        <v>92</v>
      </c>
    </row>
    <row r="27" spans="1:7" x14ac:dyDescent="0.3">
      <c r="B27" t="s">
        <v>93</v>
      </c>
      <c r="C27" t="s">
        <v>92</v>
      </c>
    </row>
    <row r="28" spans="1:7" x14ac:dyDescent="0.3">
      <c r="A28" t="s">
        <v>103</v>
      </c>
      <c r="B28" t="s">
        <v>91</v>
      </c>
      <c r="C28" t="s">
        <v>92</v>
      </c>
    </row>
    <row r="29" spans="1:7" x14ac:dyDescent="0.3">
      <c r="B29" t="s">
        <v>93</v>
      </c>
      <c r="C29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Rosa Muilu</cp:lastModifiedBy>
  <dcterms:created xsi:type="dcterms:W3CDTF">2015-06-05T18:17:20Z</dcterms:created>
  <dcterms:modified xsi:type="dcterms:W3CDTF">2026-10-10T11:18:03Z</dcterms:modified>
</cp:coreProperties>
</file>